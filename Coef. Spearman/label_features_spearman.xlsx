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docu\Israel\Máster\TFM\"/>
    </mc:Choice>
  </mc:AlternateContent>
  <xr:revisionPtr revIDLastSave="0" documentId="13_ncr:1_{F7118E7C-1537-4B9A-9CFD-248462D102A7}" xr6:coauthVersionLast="47" xr6:coauthVersionMax="47" xr10:uidLastSave="{00000000-0000-0000-0000-000000000000}"/>
  <bookViews>
    <workbookView xWindow="-120" yWindow="-120" windowWidth="38640" windowHeight="21120" xr2:uid="{54B4FD86-6CD7-4897-B3FF-CA8AC55942E3}"/>
  </bookViews>
  <sheets>
    <sheet name="label_features" sheetId="3" r:id="rId1"/>
    <sheet name="Coeficiente de Spearman" sheetId="1" r:id="rId2"/>
    <sheet name="Estadísticas" sheetId="2" r:id="rId3"/>
  </sheets>
  <definedNames>
    <definedName name="DatosExternos_1" localSheetId="0" hidden="1">label_features!$A$1:$H$102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B4" i="1"/>
  <c r="C4" i="1"/>
  <c r="D4" i="1"/>
  <c r="E4" i="1"/>
  <c r="F4" i="1"/>
  <c r="G4" i="1"/>
  <c r="H4" i="1"/>
  <c r="B5" i="1"/>
  <c r="C5" i="1"/>
  <c r="D5" i="1"/>
  <c r="E5" i="1"/>
  <c r="Q10" i="1" s="1"/>
  <c r="F5" i="1"/>
  <c r="G5" i="1"/>
  <c r="H5" i="1"/>
  <c r="B6" i="1"/>
  <c r="C6" i="1"/>
  <c r="D6" i="1"/>
  <c r="E6" i="1"/>
  <c r="F6" i="1"/>
  <c r="G6" i="1"/>
  <c r="H6" i="1"/>
  <c r="B7" i="1"/>
  <c r="C7" i="1"/>
  <c r="D7" i="1"/>
  <c r="E7" i="1"/>
  <c r="F7" i="1"/>
  <c r="G7" i="1"/>
  <c r="M12" i="1" s="1"/>
  <c r="H7" i="1"/>
  <c r="B8" i="1"/>
  <c r="C8" i="1"/>
  <c r="D8" i="1"/>
  <c r="E8" i="1"/>
  <c r="F8" i="1"/>
  <c r="G8" i="1"/>
  <c r="H8" i="1"/>
  <c r="B9" i="1"/>
  <c r="C9" i="1"/>
  <c r="D9" i="1"/>
  <c r="E9" i="1"/>
  <c r="F9" i="1"/>
  <c r="G9" i="1"/>
  <c r="H9" i="1"/>
  <c r="B10" i="1"/>
  <c r="C10" i="1"/>
  <c r="D10" i="1"/>
  <c r="E10" i="1"/>
  <c r="F10" i="1"/>
  <c r="G10" i="1"/>
  <c r="H10" i="1"/>
  <c r="B11" i="1"/>
  <c r="C11" i="1"/>
  <c r="D11" i="1"/>
  <c r="E11" i="1"/>
  <c r="F11" i="1"/>
  <c r="G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G42" i="1"/>
  <c r="H42" i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C51" i="1"/>
  <c r="D51" i="1"/>
  <c r="E51" i="1"/>
  <c r="F51" i="1"/>
  <c r="G51" i="1"/>
  <c r="H51" i="1"/>
  <c r="B52" i="1"/>
  <c r="C52" i="1"/>
  <c r="D52" i="1"/>
  <c r="E52" i="1"/>
  <c r="F52" i="1"/>
  <c r="G52" i="1"/>
  <c r="H52" i="1"/>
  <c r="B53" i="1"/>
  <c r="C53" i="1"/>
  <c r="D53" i="1"/>
  <c r="E53" i="1"/>
  <c r="F53" i="1"/>
  <c r="G53" i="1"/>
  <c r="H53" i="1"/>
  <c r="B54" i="1"/>
  <c r="C54" i="1"/>
  <c r="D54" i="1"/>
  <c r="E54" i="1"/>
  <c r="F54" i="1"/>
  <c r="G54" i="1"/>
  <c r="H54" i="1"/>
  <c r="B55" i="1"/>
  <c r="C55" i="1"/>
  <c r="D55" i="1"/>
  <c r="E55" i="1"/>
  <c r="F55" i="1"/>
  <c r="G55" i="1"/>
  <c r="H55" i="1"/>
  <c r="B56" i="1"/>
  <c r="C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G58" i="1"/>
  <c r="H58" i="1"/>
  <c r="B59" i="1"/>
  <c r="C59" i="1"/>
  <c r="D59" i="1"/>
  <c r="E59" i="1"/>
  <c r="F59" i="1"/>
  <c r="G59" i="1"/>
  <c r="H59" i="1"/>
  <c r="B60" i="1"/>
  <c r="C60" i="1"/>
  <c r="D60" i="1"/>
  <c r="E60" i="1"/>
  <c r="F60" i="1"/>
  <c r="G60" i="1"/>
  <c r="H60" i="1"/>
  <c r="B61" i="1"/>
  <c r="C61" i="1"/>
  <c r="D61" i="1"/>
  <c r="E61" i="1"/>
  <c r="F61" i="1"/>
  <c r="G61" i="1"/>
  <c r="H61" i="1"/>
  <c r="B62" i="1"/>
  <c r="C62" i="1"/>
  <c r="D62" i="1"/>
  <c r="E62" i="1"/>
  <c r="F62" i="1"/>
  <c r="G62" i="1"/>
  <c r="H62" i="1"/>
  <c r="B63" i="1"/>
  <c r="C63" i="1"/>
  <c r="D63" i="1"/>
  <c r="E63" i="1"/>
  <c r="F63" i="1"/>
  <c r="G63" i="1"/>
  <c r="H63" i="1"/>
  <c r="B64" i="1"/>
  <c r="C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G66" i="1"/>
  <c r="H66" i="1"/>
  <c r="B67" i="1"/>
  <c r="C67" i="1"/>
  <c r="D67" i="1"/>
  <c r="E67" i="1"/>
  <c r="F67" i="1"/>
  <c r="G67" i="1"/>
  <c r="H67" i="1"/>
  <c r="B68" i="1"/>
  <c r="C68" i="1"/>
  <c r="D68" i="1"/>
  <c r="E68" i="1"/>
  <c r="F68" i="1"/>
  <c r="G68" i="1"/>
  <c r="H68" i="1"/>
  <c r="B69" i="1"/>
  <c r="C69" i="1"/>
  <c r="D69" i="1"/>
  <c r="E69" i="1"/>
  <c r="F69" i="1"/>
  <c r="G69" i="1"/>
  <c r="H69" i="1"/>
  <c r="B70" i="1"/>
  <c r="C70" i="1"/>
  <c r="D70" i="1"/>
  <c r="E70" i="1"/>
  <c r="F70" i="1"/>
  <c r="G70" i="1"/>
  <c r="H70" i="1"/>
  <c r="B71" i="1"/>
  <c r="C71" i="1"/>
  <c r="D71" i="1"/>
  <c r="E71" i="1"/>
  <c r="F71" i="1"/>
  <c r="G71" i="1"/>
  <c r="H71" i="1"/>
  <c r="B72" i="1"/>
  <c r="C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G74" i="1"/>
  <c r="H74" i="1"/>
  <c r="B75" i="1"/>
  <c r="C75" i="1"/>
  <c r="D75" i="1"/>
  <c r="E75" i="1"/>
  <c r="F75" i="1"/>
  <c r="G75" i="1"/>
  <c r="H75" i="1"/>
  <c r="B76" i="1"/>
  <c r="C76" i="1"/>
  <c r="D76" i="1"/>
  <c r="E76" i="1"/>
  <c r="F76" i="1"/>
  <c r="G76" i="1"/>
  <c r="H76" i="1"/>
  <c r="B77" i="1"/>
  <c r="C77" i="1"/>
  <c r="D77" i="1"/>
  <c r="E77" i="1"/>
  <c r="F77" i="1"/>
  <c r="G77" i="1"/>
  <c r="H77" i="1"/>
  <c r="B78" i="1"/>
  <c r="C78" i="1"/>
  <c r="D78" i="1"/>
  <c r="E78" i="1"/>
  <c r="F78" i="1"/>
  <c r="G78" i="1"/>
  <c r="H78" i="1"/>
  <c r="B79" i="1"/>
  <c r="C79" i="1"/>
  <c r="D79" i="1"/>
  <c r="E79" i="1"/>
  <c r="F79" i="1"/>
  <c r="G79" i="1"/>
  <c r="H79" i="1"/>
  <c r="B80" i="1"/>
  <c r="C80" i="1"/>
  <c r="D80" i="1"/>
  <c r="E80" i="1"/>
  <c r="F80" i="1"/>
  <c r="G80" i="1"/>
  <c r="H80" i="1"/>
  <c r="B81" i="1"/>
  <c r="C81" i="1"/>
  <c r="D81" i="1"/>
  <c r="E81" i="1"/>
  <c r="F81" i="1"/>
  <c r="G81" i="1"/>
  <c r="H81" i="1"/>
  <c r="B82" i="1"/>
  <c r="C82" i="1"/>
  <c r="D82" i="1"/>
  <c r="E82" i="1"/>
  <c r="F82" i="1"/>
  <c r="G82" i="1"/>
  <c r="H82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B97" i="1"/>
  <c r="C97" i="1"/>
  <c r="D97" i="1"/>
  <c r="E97" i="1"/>
  <c r="F97" i="1"/>
  <c r="G97" i="1"/>
  <c r="H97" i="1"/>
  <c r="B98" i="1"/>
  <c r="C98" i="1"/>
  <c r="D98" i="1"/>
  <c r="E98" i="1"/>
  <c r="F98" i="1"/>
  <c r="G98" i="1"/>
  <c r="H98" i="1"/>
  <c r="B99" i="1"/>
  <c r="C99" i="1"/>
  <c r="D99" i="1"/>
  <c r="E99" i="1"/>
  <c r="F99" i="1"/>
  <c r="G99" i="1"/>
  <c r="H99" i="1"/>
  <c r="B100" i="1"/>
  <c r="C100" i="1"/>
  <c r="D100" i="1"/>
  <c r="E100" i="1"/>
  <c r="F100" i="1"/>
  <c r="G100" i="1"/>
  <c r="H100" i="1"/>
  <c r="B101" i="1"/>
  <c r="C101" i="1"/>
  <c r="D101" i="1"/>
  <c r="E101" i="1"/>
  <c r="F101" i="1"/>
  <c r="G101" i="1"/>
  <c r="H101" i="1"/>
  <c r="B102" i="1"/>
  <c r="C102" i="1"/>
  <c r="D102" i="1"/>
  <c r="E102" i="1"/>
  <c r="F102" i="1"/>
  <c r="G102" i="1"/>
  <c r="H102" i="1"/>
  <c r="C2" i="1"/>
  <c r="D2" i="1"/>
  <c r="E2" i="1"/>
  <c r="F2" i="1"/>
  <c r="G2" i="1"/>
  <c r="H2" i="1"/>
  <c r="B2" i="1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M13" i="1" l="1"/>
  <c r="R9" i="1"/>
  <c r="N9" i="1"/>
  <c r="M9" i="1"/>
  <c r="P7" i="1"/>
  <c r="O7" i="1"/>
  <c r="Q11" i="1"/>
  <c r="O8" i="1"/>
  <c r="N7" i="1"/>
  <c r="S11" i="1"/>
  <c r="R11" i="1"/>
  <c r="P11" i="1"/>
  <c r="O11" i="1"/>
  <c r="N11" i="1"/>
  <c r="M11" i="1"/>
  <c r="S12" i="1"/>
  <c r="P9" i="1"/>
  <c r="Q12" i="1"/>
  <c r="P12" i="1"/>
  <c r="R12" i="1"/>
  <c r="O12" i="1"/>
  <c r="S9" i="1"/>
  <c r="N12" i="1"/>
  <c r="M8" i="1"/>
  <c r="O9" i="1"/>
  <c r="P10" i="1"/>
  <c r="S13" i="1"/>
  <c r="R13" i="1"/>
  <c r="Q13" i="1"/>
  <c r="P13" i="1"/>
  <c r="M7" i="1"/>
  <c r="O13" i="1"/>
  <c r="S7" i="1"/>
  <c r="N13" i="1"/>
  <c r="R7" i="1"/>
  <c r="Q7" i="1"/>
  <c r="Q9" i="1"/>
  <c r="N8" i="1"/>
  <c r="S8" i="1"/>
  <c r="R8" i="1"/>
  <c r="O10" i="1"/>
  <c r="Q8" i="1"/>
  <c r="N10" i="1"/>
  <c r="P8" i="1"/>
  <c r="M10" i="1"/>
  <c r="S10" i="1"/>
  <c r="R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0DB63F-8D50-41E8-9E27-871E67F88775}" keepAlive="1" name="Consulta - label_features" description="Conexión a la consulta 'label_features' en el libro." type="5" refreshedVersion="0" background="1">
    <dbPr connection="Provider=Microsoft.Mashup.OleDb.1;Data Source=$Workbook$;Location=label_features;Extended Properties=&quot;&quot;" command="SELECT * FROM [label_features]"/>
  </connection>
  <connection id="2" xr16:uid="{39C95109-0398-4BD6-8FB2-884E01F941FE}" keepAlive="1" name="Consulta - label_features (2)" description="Conexión a la consulta 'label_features (2)' en el libro." type="5" refreshedVersion="8" background="1" saveData="1">
    <dbPr connection="Provider=Microsoft.Mashup.OleDb.1;Data Source=$Workbook$;Location=&quot;label_features (2)&quot;;Extended Properties=&quot;&quot;" command="SELECT * FROM [label_features (2)]"/>
  </connection>
</connections>
</file>

<file path=xl/sharedStrings.xml><?xml version="1.0" encoding="utf-8"?>
<sst xmlns="http://schemas.openxmlformats.org/spreadsheetml/2006/main" count="133" uniqueCount="112">
  <si>
    <t>stl_path</t>
  </si>
  <si>
    <t>n_vertices</t>
  </si>
  <si>
    <t>mean_edge</t>
  </si>
  <si>
    <t>footprint_xy</t>
  </si>
  <si>
    <t>height_range</t>
  </si>
  <si>
    <t>curvature_energy</t>
  </si>
  <si>
    <t>curvature_mean</t>
  </si>
  <si>
    <t>label</t>
  </si>
  <si>
    <t>Y:\Máster\TFM\Imágenes STL\Walter\PRE\132465641_lprofile_occlusion_l,stl</t>
  </si>
  <si>
    <t>Y:\Máster\TFM\Imágenes STL\3DTeethSeg\Imágenes\lower\O52P1SZT\O52P1SZT_lower,stl</t>
  </si>
  <si>
    <t>Y:\Máster\TFM\Imágenes STL\3DTeethSeg\Imágenes\lower\ODC3F7X8\ODC3F7X8_lower,stl</t>
  </si>
  <si>
    <t>Y:\Máster\TFM\Imágenes STL\3DTeethSeg\Imágenes\lower\OEIWQQMQ\OEIWQQMQ_lower,stl</t>
  </si>
  <si>
    <t>Y:\Máster\TFM\Imágenes STL\3DTeethSeg\Imágenes\lower\OEPN5LUR\OEPN5LUR_lower,stl</t>
  </si>
  <si>
    <t>Y:\Máster\TFM\Imágenes STL\3DTeethSeg\Imágenes\lower\OGQI7QQX\OGQI7QQX_lower,stl</t>
  </si>
  <si>
    <t>Y:\Máster\TFM\Imágenes STL\3DTeethSeg\Imágenes\lower\OJKNS9DO\OJKNS9DO_lower,stl</t>
  </si>
  <si>
    <t>Y:\Máster\TFM\Imágenes STL\3DTeethSeg\Imágenes\lower\OO75RHX3\OO75RHX3_lower,stl</t>
  </si>
  <si>
    <t>Y:\Máster\TFM\Imágenes STL\3DTeethSeg\Imágenes\lower\OQMRF1N4\OQMRF1N4_lower,stl</t>
  </si>
  <si>
    <t>Y:\Máster\TFM\Imágenes STL\3DTeethSeg\Imágenes\lower\OR84V09H\OR84V09H_lower,stl</t>
  </si>
  <si>
    <t>Y:\Máster\TFM\Imágenes STL\3DTeethSeg\Imágenes\lower\ORDHT9TX\ORDHT9TX_lower,stl</t>
  </si>
  <si>
    <t>Y:\Máster\TFM\Imágenes STL\3DTeethSeg\Imágenes\lower\OS06596E\OS06596E_lower,stl</t>
  </si>
  <si>
    <t>Y:\Máster\TFM\Imágenes STL\3DTeethSeg\Imágenes\lower\P0YTJU57\P0YTJU57_lower,stl</t>
  </si>
  <si>
    <t>Y:\Máster\TFM\Imágenes STL\3DTeethSeg\Imágenes\lower\P2XZ9Q6L\P2XZ9Q6L_lower,stl</t>
  </si>
  <si>
    <t>Y:\Máster\TFM\Imágenes STL\3DTeethSeg\Imágenes\lower\P5NL90OZ\P5NL90OZ_lower,stl</t>
  </si>
  <si>
    <t>Y:\Máster\TFM\Imágenes STL\3DTeethSeg\Imágenes\lower\patient2\patient2_lower,stl</t>
  </si>
  <si>
    <t>Y:\Máster\TFM\Imágenes STL\3DTeethSeg\Imágenes\lower\PBG8YZJ9\PBG8YZJ9_lower,stl</t>
  </si>
  <si>
    <t>Y:\Máster\TFM\Imágenes STL\3DTeethSeg\Imágenes\lower\PCXO5HOG\PCXO5HOG_lower,stl</t>
  </si>
  <si>
    <t>Y:\Máster\TFM\Imágenes STL\3DTeethSeg\Imágenes\lower\PKPW730K\PKPW730K_lower,stl</t>
  </si>
  <si>
    <t>Y:\Máster\TFM\Imágenes STL\3DTeethSeg\Imágenes\lower\PKVZEFCD\PKVZEFCD_lower,stl</t>
  </si>
  <si>
    <t>Y:\Máster\TFM\Imágenes STL\3DTeethSeg\Imágenes\lower\PP48V5RU\PP48V5RU_lower,stl</t>
  </si>
  <si>
    <t>Y:\Máster\TFM\Imágenes STL\3DTeethSeg\Imágenes\lower\PS0WAD4X\PS0WAD4X_lower,stl</t>
  </si>
  <si>
    <t>Y:\Máster\TFM\Imágenes STL\3DTeethSeg\Imágenes\lower\PY6M5YZ2\PY6M5YZ2_lower,stl</t>
  </si>
  <si>
    <t>Y:\Máster\TFM\Imágenes STL\3DTeethSeg\Imágenes\lower\PYAY9ZYX\PYAY9ZYX_lower,stl</t>
  </si>
  <si>
    <t>Y:\Máster\TFM\Imágenes STL\3DTeethSeg\Imágenes\lower\PYKS3V33\PYKS3V33_lower,stl</t>
  </si>
  <si>
    <t>Y:\Máster\TFM\Imágenes STL\3DTeethSeg\Imágenes\lower\Q21I52KT\Q21I52KT_lower,stl</t>
  </si>
  <si>
    <t>Y:\Máster\TFM\Imágenes STL\3DTeethSeg\Imágenes\lower\Q3NA514X\Q3NA514X_lower,stl</t>
  </si>
  <si>
    <t>Y:\Máster\TFM\Imágenes STL\3DTeethSeg\Imágenes\lower\Q5GSR6N2\Q5GSR6N2_lower,stl</t>
  </si>
  <si>
    <t>Y:\Máster\TFM\Imágenes STL\3DTeethSeg\Imágenes\lower\QA27COSZ\QA27COSZ_lower,stl</t>
  </si>
  <si>
    <t>Y:\Máster\TFM\Imágenes STL\3DTeethSeg\Imágenes\lower\QD5BSKK9\QD5BSKK9_lower,stl</t>
  </si>
  <si>
    <t>Y:\Máster\TFM\Imágenes STL\3DTeethSeg\Imágenes\lower\QDI80G6G\QDI80G6G_lower,stl</t>
  </si>
  <si>
    <t>Y:\Máster\TFM\Imágenes STL\3DTeethSeg\Imágenes\lower\QF3P9YRI\QF3P9YRI_lower,stl</t>
  </si>
  <si>
    <t>Y:\Máster\TFM\Imágenes STL\3DTeethSeg\Imágenes\lower\QHBUEFZ2\QHBUEFZ2_lower,stl</t>
  </si>
  <si>
    <t>Y:\Máster\TFM\Imágenes STL\3DTeethSeg\Imágenes\lower\QOCAWJXM\QOCAWJXM_lower,stl</t>
  </si>
  <si>
    <t>Y:\Máster\TFM\Imágenes STL\3DTeethSeg\Imágenes\lower\QPYE7NOP\QPYE7NOP_lower,stl</t>
  </si>
  <si>
    <t>Y:\Máster\TFM\Imágenes STL\3DTeethSeg\Imágenes\lower\QQKBAWLF\QQKBAWLF_lower,stl</t>
  </si>
  <si>
    <t>Y:\Máster\TFM\Imágenes STL\3DTeethSeg\Imágenes\lower\QTDZUUZV\QTDZUUZV_lower,stl</t>
  </si>
  <si>
    <t>Y:\Máster\TFM\Imágenes STL\3DTeethSeg\Imágenes\lower\QVUPP39R\QVUPP39R_lower,stl</t>
  </si>
  <si>
    <t>Y:\Máster\TFM\Imágenes STL\3DTeethSeg\Imágenes\lower\R3UKC00Q\R3UKC00Q_lower,stl</t>
  </si>
  <si>
    <t>Y:\Máster\TFM\Imágenes STL\3DTeethSeg\Imágenes\lower\R544MS3L\R544MS3L_lower,stl</t>
  </si>
  <si>
    <t>Y:\Máster\TFM\Imágenes STL\3DTeethSeg\Imágenes\lower\R7SB5B5N\R7SB5B5N_lower,stl</t>
  </si>
  <si>
    <t>Y:\Máster\TFM\Imágenes STL\3DTeethSeg\Imágenes\lower\R8YTI9HB\R8YTI9HB_lower,stl</t>
  </si>
  <si>
    <t>Y:\Máster\TFM\Imágenes STL\3DTeethSeg\Imágenes\lower\RAFITTZB\RAFITTZB_lower,stl</t>
  </si>
  <si>
    <t>Y:\Máster\TFM\Imágenes STL\3DTeethSeg\Imágenes\lower\RHGVYFQ9\RHGVYFQ9_lower,stl</t>
  </si>
  <si>
    <t>Y:\Máster\TFM\Imágenes STL\3DTeethSeg\Imágenes\lower\RSUL1J8U\RSUL1J8U_lower,stl</t>
  </si>
  <si>
    <t>Y:\Máster\TFM\Imágenes STL\3DTeethSeg\Imágenes\lower\RUXSXSCL\RUXSXSCL_lower,stl</t>
  </si>
  <si>
    <t>Y:\Máster\TFM\Imágenes STL\3DTeethSeg\Imágenes\lower\RZ69JRI9\RZ69JRI9_lower,stl</t>
  </si>
  <si>
    <t>Y:\Máster\TFM\Imágenes STL\3DTeethSeg\Imágenes\lower\S0AON6PZ\S0AON6PZ_lower,stl</t>
  </si>
  <si>
    <t>Y:\Máster\TFM\Imágenes STL\3DTeethSeg\Imágenes\lower\S307GDC6\S307GDC6_lower,stl</t>
  </si>
  <si>
    <t>Y:\Máster\TFM\Imágenes STL\3DTeethSeg\Imágenes\lower\S5VIQ478\S5VIQ478_lower,stl</t>
  </si>
  <si>
    <t>Y:\Máster\TFM\Imágenes STL\3DTeethSeg\Imágenes\lower\S8FFW0OP\S8FFW0OP_lower,stl</t>
  </si>
  <si>
    <t>Y:\Máster\TFM\Imágenes STL\3DTeethSeg\Imágenes\lower\SE68JIRS\SE68JIRS_lower,stl</t>
  </si>
  <si>
    <t>Y:\Máster\TFM\Imágenes STL\3DTeethSeg\Imágenes\lower\SEN849RI\SEN849RI_lower,stl</t>
  </si>
  <si>
    <t>Y:\Máster\TFM\Imágenes STL\3DTeethSeg\Imágenes\lower\SFTVTQOW\SFTVTQOW_lower,stl</t>
  </si>
  <si>
    <t>Y:\Máster\TFM\Imágenes STL\3DTeethSeg\Imágenes\lower\SGIFTXFD\SGIFTXFD_lower,stl</t>
  </si>
  <si>
    <t>Y:\Máster\TFM\Imágenes STL\3DTeethSeg\Imágenes\lower\SI19V0MY\SI19V0MY_lower,stl</t>
  </si>
  <si>
    <t>Y:\Máster\TFM\Imágenes STL\3DTeethSeg\Imágenes\lower\SJDH33M1\SJDH33M1_lower,stl</t>
  </si>
  <si>
    <t>Y:\Máster\TFM\Imágenes STL\3DTeethSeg\Imágenes\lower\SMP891U8\SMP891U8_lower,stl</t>
  </si>
  <si>
    <t>Y:\Máster\TFM\Imágenes STL\3DTeethSeg\Imágenes\lower\SY3JLB0V\SY3JLB0V_lower,stl</t>
  </si>
  <si>
    <t>Y:\Máster\TFM\Imágenes STL\3DTeethSeg\Imágenes\lower\SZQ66Y5A\SZQ66Y5A_lower,stl</t>
  </si>
  <si>
    <t>Y:\Máster\TFM\Imágenes STL\3DTeethSeg\Imágenes\lower\T21AWMTR\T21AWMTR_lower,stl</t>
  </si>
  <si>
    <t>Y:\Máster\TFM\Imágenes STL\3DTeethSeg\Imágenes\lower\T4YI54O5\T4YI54O5_lower,stl</t>
  </si>
  <si>
    <t>Y:\Máster\TFM\Imágenes STL\3DTeethSeg\Imágenes\lower\THGBYHX3\THGBYHX3_lower,stl</t>
  </si>
  <si>
    <t>Y:\Máster\TFM\Imágenes STL\3DTeethSeg\Imágenes\lower\THY8Z5DD\THY8Z5DD_lower,stl</t>
  </si>
  <si>
    <t>Y:\Máster\TFM\Imágenes STL\3DTeethSeg\Imágenes\lower\TUXRQYU8\TUXRQYU8_lower,stl</t>
  </si>
  <si>
    <t>Y:\Máster\TFM\Imágenes STL\3DTeethSeg\Imágenes\lower\TZRY3HIX\TZRY3HIX_lower,stl</t>
  </si>
  <si>
    <t>Y:\Máster\TFM\Imágenes STL\3DTeethSeg\Imágenes\lower\U0YVRCMS\U0YVRCMS_lower,stl</t>
  </si>
  <si>
    <t>Y:\Máster\TFM\Imágenes STL\3DTeethSeg\Imágenes\lower\U1HFBZ1F\U1HFBZ1F_lower,stl</t>
  </si>
  <si>
    <t>Y:\Máster\TFM\Imágenes STL\3DTeethSeg\Imágenes\lower\U8V34P1M\U8V34P1M_lower,stl</t>
  </si>
  <si>
    <t>Y:\Máster\TFM\Imágenes STL\3DTeethSeg\Imágenes\lower\U9UBDO05\U9UBDO05_lower,stl</t>
  </si>
  <si>
    <t>Y:\Máster\TFM\Imágenes STL\3DTeethSeg\Imágenes\lower\UAO672OA\UAO672OA_lower,stl</t>
  </si>
  <si>
    <t>Y:\Máster\TFM\Imágenes STL\3DTeethSeg\Imágenes\lower\UEPDPBK2\UEPDPBK2_lower,stl</t>
  </si>
  <si>
    <t>Y:\Máster\TFM\Imágenes STL\3DTeethSeg\Imágenes\lower\UHU2XH25\UHU2XH25_lower,stl</t>
  </si>
  <si>
    <t>Y:\Máster\TFM\Imágenes STL\3DTeethSeg\Imágenes\lower\UJPJ175B\UJPJ175B_lower,stl</t>
  </si>
  <si>
    <t>Y:\Máster\TFM\Imágenes STL\3DTeethSeg\Imágenes\lower\ULCJXQS5\ULCJXQS5_lower,stl</t>
  </si>
  <si>
    <t>Y:\Máster\TFM\Imágenes STL\3DTeethSeg\Imágenes\lower\UNKC1VVC\UNKC1VVC_lower,stl</t>
  </si>
  <si>
    <t>Y:\Máster\TFM\Imágenes STL\3DTeethSeg\Imágenes\lower\V5U3CUGX\V5U3CUGX_lower,stl</t>
  </si>
  <si>
    <t>Y:\Máster\TFM\Imágenes STL\3DTeethSeg\Imágenes\lower\V9CAFAV4\V9CAFAV4_lower,stl</t>
  </si>
  <si>
    <t>Y:\Máster\TFM\Imágenes STL\3DTeethSeg\Imágenes\lower\VBUD4E5R\VBUD4E5R_lower,stl</t>
  </si>
  <si>
    <t>Y:\Máster\TFM\Imágenes STL\3DTeethSeg\Imágenes\lower\VCVHV931\VCVHV931_lower,stl</t>
  </si>
  <si>
    <t>Y:\Máster\TFM\Imágenes STL\3DTeethSeg\Imágenes\lower\VEAVRKX3\VEAVRKX3_lower,stl</t>
  </si>
  <si>
    <t>Y:\Máster\TFM\Imágenes STL\3DTeethSeg\Imágenes\lower\VGZWVOXX\VGZWVOXX_lower,stl</t>
  </si>
  <si>
    <t>Y:\Máster\TFM\Imágenes STL\3DTeethSeg\Imágenes\lower\VJZXIP9X\VJZXIP9X_lower,stl</t>
  </si>
  <si>
    <t>Y:\Máster\TFM\Imágenes STL\3DTeethSeg\Imágenes\lower\VNM3GH9Z\VNM3GH9Z_lower,stl</t>
  </si>
  <si>
    <t>Y:\Máster\TFM\Imágenes STL\3DTeethSeg\Imágenes\lower\VNRRN6ZF\VNRRN6ZF_lower,stl</t>
  </si>
  <si>
    <t>Y:\Máster\TFM\Imágenes STL\3DTeethSeg\Imágenes\lower\VQENDTP2\VQENDTP2_lower,stl</t>
  </si>
  <si>
    <t>Y:\Máster\TFM\Imágenes STL\3DTeethSeg\Imágenes\lower\VR3C4L0M\VR3C4L0M_lower,stl</t>
  </si>
  <si>
    <t>Y:\Máster\TFM\Imágenes STL\3DTeethSeg\Imágenes\lower\VXRFUE19\VXRFUE19_lower,stl</t>
  </si>
  <si>
    <t>Y:\Máster\TFM\Imágenes STL\3DTeethSeg\Imágenes\lower\VY1R353X\VY1R353X_lower,stl</t>
  </si>
  <si>
    <t>Y:\Máster\TFM\Imágenes STL\3DTeethSeg\Imágenes\lower\VY5POH5L\VY5POH5L_lower,stl</t>
  </si>
  <si>
    <t>Y:\Máster\TFM\Imágenes STL\3DTeethSeg\Imágenes\lower\W06EM826\W06EM826_lower,stl</t>
  </si>
  <si>
    <t>Y:\Máster\TFM\Imágenes STL\3DTeethSeg\Imágenes\lower\W33KWDRX\W33KWDRX_lower,stl</t>
  </si>
  <si>
    <t>Y:\Máster\TFM\Imágenes STL\3DTeethSeg\Imágenes\lower\W7PDBF6N\W7PDBF6N_lower,stl</t>
  </si>
  <si>
    <t>Y:\Máster\TFM\Imágenes STL\3DTeethSeg\Imágenes\lower\W82LGNOE\W82LGNOE_lower,stl</t>
  </si>
  <si>
    <t>Y:\Máster\TFM\Imágenes STL\3DTeethSeg\Imágenes\lower\WBIEGF2H\WBIEGF2H_lower,stl</t>
  </si>
  <si>
    <t>Y:\Máster\TFM\Imágenes STL\3DTeethSeg\Imágenes\lower\WBR4UERA\WBR4UERA_lower,stl</t>
  </si>
  <si>
    <t>Y:\Máster\TFM\Imágenes STL\3DTeethSeg\Imágenes\lower\WINM1RGX\WINM1RGX_lower,stl</t>
  </si>
  <si>
    <t>Y:\Máster\TFM\Imágenes STL\3DTeethSeg\Imágenes\lower\WK3XHJR5\WK3XHJR5_lower,stl</t>
  </si>
  <si>
    <t>Y:\Máster\TFM\Imágenes STL\3DTeethSeg\Imágenes\lower\WKDWFB4W\WKDWFB4W_lower,stl</t>
  </si>
  <si>
    <t>Media</t>
  </si>
  <si>
    <t>Mediana</t>
  </si>
  <si>
    <t>Moda</t>
  </si>
  <si>
    <t>Desviación</t>
  </si>
  <si>
    <t>Varianza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</si>
</sst>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E97D8D8-0903-4EDF-A354-ECC1E6418069}" autoFormatId="16" applyNumberFormats="0" applyBorderFormats="0" applyFontFormats="0" applyPatternFormats="0" applyAlignmentFormats="0" applyWidthHeightFormats="0">
  <queryTableRefresh nextId="12">
    <queryTableFields count="8">
      <queryTableField id="1" name="stl_path" tableColumnId="1"/>
      <queryTableField id="2" name="n_vertices" tableColumnId="2"/>
      <queryTableField id="3" name="mean_edge" tableColumnId="3"/>
      <queryTableField id="4" name="footprint_xy" tableColumnId="4"/>
      <queryTableField id="5" name="height_range" tableColumnId="5"/>
      <queryTableField id="6" name="curvature_energy" tableColumnId="6"/>
      <queryTableField id="7" name="curvature_mean" tableColumnId="7"/>
      <queryTableField id="8" name="labe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C2A7F-C835-4A93-B43C-BD1948439309}" name="label_features__2" displayName="label_features__2" ref="A1:H102" tableType="queryTable" totalsRowShown="0">
  <autoFilter ref="A1:H102" xr:uid="{7BDC2A7F-C835-4A93-B43C-BD1948439309}"/>
  <tableColumns count="8">
    <tableColumn id="1" xr3:uid="{74E014C6-6FB2-493B-9D9C-A872CAD52585}" uniqueName="1" name="stl_path" queryTableFieldId="1" dataDxfId="0"/>
    <tableColumn id="2" xr3:uid="{13D2BF13-3127-4BBE-968F-4800B6ABE2B0}" uniqueName="2" name="n_vertices" queryTableFieldId="2"/>
    <tableColumn id="3" xr3:uid="{2E308843-D070-46A9-879A-FB7A91A45ACA}" uniqueName="3" name="mean_edge" queryTableFieldId="3"/>
    <tableColumn id="4" xr3:uid="{5C5612A4-E66A-42EA-96E0-B60CF15C9C1E}" uniqueName="4" name="footprint_xy" queryTableFieldId="4"/>
    <tableColumn id="5" xr3:uid="{2A62B0FC-A437-42A9-AFE7-248F7BBFD63C}" uniqueName="5" name="height_range" queryTableFieldId="5"/>
    <tableColumn id="6" xr3:uid="{C10F422F-CD65-49FC-8590-3A054825A399}" uniqueName="6" name="curvature_energy" queryTableFieldId="6"/>
    <tableColumn id="7" xr3:uid="{1E65610C-D711-40E1-BE07-427A2118098D}" uniqueName="7" name="curvature_mean" queryTableFieldId="7"/>
    <tableColumn id="8" xr3:uid="{BFC8D090-6392-4A37-BDC6-5D358601F97C}" uniqueName="8" name="label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C888-5509-4FC2-9A92-510B353B49F0}">
  <dimension ref="A1:H102"/>
  <sheetViews>
    <sheetView tabSelected="1" zoomScaleNormal="100" workbookViewId="0">
      <selection activeCell="P13" sqref="P13"/>
    </sheetView>
  </sheetViews>
  <sheetFormatPr baseColWidth="10" defaultRowHeight="15" x14ac:dyDescent="0.25"/>
  <cols>
    <col min="1" max="1" width="81.140625" bestFit="1" customWidth="1"/>
    <col min="2" max="2" width="12.5703125" bestFit="1" customWidth="1"/>
    <col min="3" max="3" width="13.5703125" bestFit="1" customWidth="1"/>
    <col min="4" max="4" width="14.140625" bestFit="1" customWidth="1"/>
    <col min="5" max="5" width="14.85546875" bestFit="1" customWidth="1"/>
    <col min="6" max="6" width="19" bestFit="1" customWidth="1"/>
    <col min="7" max="7" width="17.7109375" bestFit="1" customWidth="1"/>
    <col min="8" max="8" width="7.7109375" bestFit="1" customWidth="1"/>
    <col min="9" max="9" width="12" bestFit="1" customWidth="1"/>
    <col min="10" max="10" width="12.5703125" bestFit="1" customWidth="1"/>
    <col min="11" max="11" width="16.7109375" bestFit="1" customWidth="1"/>
    <col min="12" max="12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110927</v>
      </c>
      <c r="C2">
        <v>0.2322812530035209</v>
      </c>
      <c r="D2">
        <v>2681.5731095598289</v>
      </c>
      <c r="E2">
        <v>18.409324052553579</v>
      </c>
      <c r="F2">
        <v>69884.881678342033</v>
      </c>
      <c r="G2">
        <v>0.63000785812599303</v>
      </c>
      <c r="H2">
        <v>1</v>
      </c>
    </row>
    <row r="3" spans="1:8" x14ac:dyDescent="0.25">
      <c r="A3" s="1" t="s">
        <v>9</v>
      </c>
      <c r="B3">
        <v>93288</v>
      </c>
      <c r="C3">
        <v>0.22751741306977424</v>
      </c>
      <c r="D3">
        <v>4351.4190828548917</v>
      </c>
      <c r="E3">
        <v>32.367717459456713</v>
      </c>
      <c r="F3">
        <v>68458.223278743797</v>
      </c>
      <c r="G3">
        <v>0.73383739900891642</v>
      </c>
      <c r="H3">
        <v>1</v>
      </c>
    </row>
    <row r="4" spans="1:8" x14ac:dyDescent="0.25">
      <c r="A4" s="1" t="s">
        <v>10</v>
      </c>
      <c r="B4">
        <v>114131</v>
      </c>
      <c r="C4">
        <v>0.2194396384873597</v>
      </c>
      <c r="D4">
        <v>3696.6569389543447</v>
      </c>
      <c r="E4">
        <v>24.266791633803447</v>
      </c>
      <c r="F4">
        <v>79452.092637069698</v>
      </c>
      <c r="G4">
        <v>0.69614822122884845</v>
      </c>
      <c r="H4">
        <v>0</v>
      </c>
    </row>
    <row r="5" spans="1:8" x14ac:dyDescent="0.25">
      <c r="A5" s="1" t="s">
        <v>11</v>
      </c>
      <c r="B5">
        <v>76322</v>
      </c>
      <c r="C5">
        <v>0.2275003428544958</v>
      </c>
      <c r="D5">
        <v>4260.7765030250512</v>
      </c>
      <c r="E5">
        <v>30.508820975399058</v>
      </c>
      <c r="F5">
        <v>57441.736979336703</v>
      </c>
      <c r="G5">
        <v>0.75262358139640873</v>
      </c>
      <c r="H5">
        <v>1</v>
      </c>
    </row>
    <row r="6" spans="1:8" x14ac:dyDescent="0.25">
      <c r="A6" s="1" t="s">
        <v>12</v>
      </c>
      <c r="B6">
        <v>116322</v>
      </c>
      <c r="C6">
        <v>0.21791057509622544</v>
      </c>
      <c r="D6">
        <v>4646.9801224428638</v>
      </c>
      <c r="E6">
        <v>24.892012144933666</v>
      </c>
      <c r="F6">
        <v>73961.248561775457</v>
      </c>
      <c r="G6">
        <v>0.63583198846112909</v>
      </c>
      <c r="H6">
        <v>1</v>
      </c>
    </row>
    <row r="7" spans="1:8" x14ac:dyDescent="0.25">
      <c r="A7" s="1" t="s">
        <v>13</v>
      </c>
      <c r="B7">
        <v>107152</v>
      </c>
      <c r="C7">
        <v>0.20931509802555726</v>
      </c>
      <c r="D7">
        <v>4953.0282274446972</v>
      </c>
      <c r="E7">
        <v>30.505868378534732</v>
      </c>
      <c r="F7">
        <v>75857.903703173884</v>
      </c>
      <c r="G7">
        <v>0.70794668977876185</v>
      </c>
      <c r="H7">
        <v>1</v>
      </c>
    </row>
    <row r="8" spans="1:8" x14ac:dyDescent="0.25">
      <c r="A8" s="1" t="s">
        <v>14</v>
      </c>
      <c r="B8">
        <v>99925</v>
      </c>
      <c r="C8">
        <v>0.21458102394019068</v>
      </c>
      <c r="D8">
        <v>3509.1978910997955</v>
      </c>
      <c r="E8">
        <v>19.972584923375727</v>
      </c>
      <c r="F8">
        <v>65927.569799440578</v>
      </c>
      <c r="G8">
        <v>0.65977052588882235</v>
      </c>
      <c r="H8">
        <v>1</v>
      </c>
    </row>
    <row r="9" spans="1:8" x14ac:dyDescent="0.25">
      <c r="A9" s="1" t="s">
        <v>15</v>
      </c>
      <c r="B9">
        <v>114234</v>
      </c>
      <c r="C9">
        <v>0.20620942510569185</v>
      </c>
      <c r="D9">
        <v>4626.3935497621524</v>
      </c>
      <c r="E9">
        <v>28.008882900719605</v>
      </c>
      <c r="F9">
        <v>79558.168790366282</v>
      </c>
      <c r="G9">
        <v>0.69644912014256943</v>
      </c>
      <c r="H9">
        <v>1</v>
      </c>
    </row>
    <row r="10" spans="1:8" x14ac:dyDescent="0.25">
      <c r="A10" s="1" t="s">
        <v>16</v>
      </c>
      <c r="B10">
        <v>15230</v>
      </c>
      <c r="C10">
        <v>0.58287753037269718</v>
      </c>
      <c r="D10">
        <v>3624.41038410908</v>
      </c>
      <c r="E10">
        <v>30.53137610213518</v>
      </c>
      <c r="F10">
        <v>12204.756755451608</v>
      </c>
      <c r="G10">
        <v>0.80136288610975759</v>
      </c>
      <c r="H10">
        <v>0</v>
      </c>
    </row>
    <row r="11" spans="1:8" x14ac:dyDescent="0.25">
      <c r="A11" s="1" t="s">
        <v>17</v>
      </c>
      <c r="B11">
        <v>98888</v>
      </c>
      <c r="C11">
        <v>0.21424283594377896</v>
      </c>
      <c r="D11">
        <v>5228.0051877444093</v>
      </c>
      <c r="E11">
        <v>30.834936557598205</v>
      </c>
      <c r="F11">
        <v>70412.973323455299</v>
      </c>
      <c r="G11">
        <v>0.71204770369969361</v>
      </c>
      <c r="H11">
        <v>0</v>
      </c>
    </row>
    <row r="12" spans="1:8" x14ac:dyDescent="0.25">
      <c r="A12" s="1" t="s">
        <v>18</v>
      </c>
      <c r="B12">
        <v>94897</v>
      </c>
      <c r="C12">
        <v>0.20333876001952098</v>
      </c>
      <c r="D12">
        <v>4338.0740794318917</v>
      </c>
      <c r="E12">
        <v>30.775312346665185</v>
      </c>
      <c r="F12">
        <v>69604.891849651875</v>
      </c>
      <c r="G12">
        <v>0.73347831701372934</v>
      </c>
      <c r="H12">
        <v>1</v>
      </c>
    </row>
    <row r="13" spans="1:8" x14ac:dyDescent="0.25">
      <c r="A13" s="1" t="s">
        <v>19</v>
      </c>
      <c r="B13">
        <v>97756</v>
      </c>
      <c r="C13">
        <v>0.22554005169583152</v>
      </c>
      <c r="D13">
        <v>3818.5688389244865</v>
      </c>
      <c r="E13">
        <v>17.785997466786601</v>
      </c>
      <c r="F13">
        <v>66056.569652160077</v>
      </c>
      <c r="G13">
        <v>0.67572905655059612</v>
      </c>
      <c r="H13">
        <v>0</v>
      </c>
    </row>
    <row r="14" spans="1:8" x14ac:dyDescent="0.25">
      <c r="A14" s="1" t="s">
        <v>19</v>
      </c>
      <c r="B14">
        <v>97756</v>
      </c>
      <c r="C14">
        <v>0.22554005169583152</v>
      </c>
      <c r="D14">
        <v>3818.5688389244865</v>
      </c>
      <c r="E14">
        <v>17.785997466786601</v>
      </c>
      <c r="F14">
        <v>66056.569652160077</v>
      </c>
      <c r="G14">
        <v>0.67572905655059612</v>
      </c>
      <c r="H14">
        <v>0</v>
      </c>
    </row>
    <row r="15" spans="1:8" x14ac:dyDescent="0.25">
      <c r="A15" s="1" t="s">
        <v>20</v>
      </c>
      <c r="B15">
        <v>104622</v>
      </c>
      <c r="C15">
        <v>0.21195469312398277</v>
      </c>
      <c r="D15">
        <v>3586.9193435413044</v>
      </c>
      <c r="E15">
        <v>26.357822201006329</v>
      </c>
      <c r="F15">
        <v>69739.542647586757</v>
      </c>
      <c r="G15">
        <v>0.66658582943918832</v>
      </c>
      <c r="H15">
        <v>0</v>
      </c>
    </row>
    <row r="16" spans="1:8" x14ac:dyDescent="0.25">
      <c r="A16" s="1" t="s">
        <v>21</v>
      </c>
      <c r="B16">
        <v>83627</v>
      </c>
      <c r="C16">
        <v>0.22887635734469491</v>
      </c>
      <c r="D16">
        <v>4925.645523364321</v>
      </c>
      <c r="E16">
        <v>31.691751291517495</v>
      </c>
      <c r="F16">
        <v>62138.73608820443</v>
      </c>
      <c r="G16">
        <v>0.74304633776417217</v>
      </c>
      <c r="H16">
        <v>1</v>
      </c>
    </row>
    <row r="17" spans="1:8" x14ac:dyDescent="0.25">
      <c r="A17" s="1" t="s">
        <v>22</v>
      </c>
      <c r="B17">
        <v>116945</v>
      </c>
      <c r="C17">
        <v>0.20682436579348784</v>
      </c>
      <c r="D17">
        <v>4734.7854809303599</v>
      </c>
      <c r="E17">
        <v>31.499256512987554</v>
      </c>
      <c r="F17">
        <v>82552.447453281115</v>
      </c>
      <c r="G17">
        <v>0.70590831119997532</v>
      </c>
      <c r="H17">
        <v>0</v>
      </c>
    </row>
    <row r="18" spans="1:8" x14ac:dyDescent="0.25">
      <c r="A18" s="1" t="s">
        <v>23</v>
      </c>
      <c r="B18">
        <v>131407</v>
      </c>
      <c r="C18">
        <v>0.21505377448477861</v>
      </c>
      <c r="D18">
        <v>6537.6446759289274</v>
      </c>
      <c r="E18">
        <v>41.634881062536152</v>
      </c>
      <c r="F18">
        <v>86083.280696965579</v>
      </c>
      <c r="G18">
        <v>0.65508900360685185</v>
      </c>
      <c r="H18">
        <v>1</v>
      </c>
    </row>
    <row r="19" spans="1:8" x14ac:dyDescent="0.25">
      <c r="A19" s="1" t="s">
        <v>24</v>
      </c>
      <c r="B19">
        <v>111305</v>
      </c>
      <c r="C19">
        <v>0.2254251596012683</v>
      </c>
      <c r="D19">
        <v>5561.1893371496471</v>
      </c>
      <c r="E19">
        <v>38.045652324385941</v>
      </c>
      <c r="F19">
        <v>80332.038686780463</v>
      </c>
      <c r="G19">
        <v>0.72172893119608694</v>
      </c>
      <c r="H19">
        <v>1</v>
      </c>
    </row>
    <row r="20" spans="1:8" x14ac:dyDescent="0.25">
      <c r="A20" s="1" t="s">
        <v>25</v>
      </c>
      <c r="B20">
        <v>73889</v>
      </c>
      <c r="C20">
        <v>0.23693149534640756</v>
      </c>
      <c r="D20">
        <v>4636.6961455582477</v>
      </c>
      <c r="E20">
        <v>39.343913084434718</v>
      </c>
      <c r="F20">
        <v>58285.996790337958</v>
      </c>
      <c r="G20">
        <v>0.78883185305441894</v>
      </c>
      <c r="H20">
        <v>0</v>
      </c>
    </row>
    <row r="21" spans="1:8" x14ac:dyDescent="0.25">
      <c r="A21" s="1" t="s">
        <v>26</v>
      </c>
      <c r="B21">
        <v>127728</v>
      </c>
      <c r="C21">
        <v>0.21387098610610114</v>
      </c>
      <c r="D21">
        <v>4480.4086634093146</v>
      </c>
      <c r="E21">
        <v>23.506472852032719</v>
      </c>
      <c r="F21">
        <v>74357.191840740095</v>
      </c>
      <c r="G21">
        <v>0.5821526356064457</v>
      </c>
      <c r="H21">
        <v>1</v>
      </c>
    </row>
    <row r="22" spans="1:8" x14ac:dyDescent="0.25">
      <c r="A22" s="1" t="s">
        <v>27</v>
      </c>
      <c r="B22">
        <v>97924</v>
      </c>
      <c r="C22">
        <v>0.21804966207700657</v>
      </c>
      <c r="D22">
        <v>3446.1013234597899</v>
      </c>
      <c r="E22">
        <v>24.048915692749805</v>
      </c>
      <c r="F22">
        <v>62244.652508460771</v>
      </c>
      <c r="G22">
        <v>0.63564246260835722</v>
      </c>
      <c r="H22">
        <v>0</v>
      </c>
    </row>
    <row r="23" spans="1:8" x14ac:dyDescent="0.25">
      <c r="A23" s="1" t="s">
        <v>27</v>
      </c>
      <c r="B23">
        <v>97924</v>
      </c>
      <c r="C23">
        <v>0.21804966207700657</v>
      </c>
      <c r="D23">
        <v>3446.1013234597899</v>
      </c>
      <c r="E23">
        <v>24.048915692749805</v>
      </c>
      <c r="F23">
        <v>62244.652508460771</v>
      </c>
      <c r="G23">
        <v>0.63564246260835722</v>
      </c>
      <c r="H23">
        <v>0</v>
      </c>
    </row>
    <row r="24" spans="1:8" x14ac:dyDescent="0.25">
      <c r="A24" s="1" t="s">
        <v>28</v>
      </c>
      <c r="B24">
        <v>166251</v>
      </c>
      <c r="C24">
        <v>0.18426028977794806</v>
      </c>
      <c r="D24">
        <v>4037.6129965127807</v>
      </c>
      <c r="E24">
        <v>20.670930935930166</v>
      </c>
      <c r="F24">
        <v>97193.062512025033</v>
      </c>
      <c r="G24">
        <v>0.58461640839468654</v>
      </c>
      <c r="H24">
        <v>1</v>
      </c>
    </row>
    <row r="25" spans="1:8" x14ac:dyDescent="0.25">
      <c r="A25" s="1" t="s">
        <v>29</v>
      </c>
      <c r="B25">
        <v>92648</v>
      </c>
      <c r="C25">
        <v>0.22474068148680559</v>
      </c>
      <c r="D25">
        <v>4687.9861753922196</v>
      </c>
      <c r="E25">
        <v>31.985531744389935</v>
      </c>
      <c r="F25">
        <v>72042.034497928951</v>
      </c>
      <c r="G25">
        <v>0.77758866352138145</v>
      </c>
      <c r="H25">
        <v>0</v>
      </c>
    </row>
    <row r="26" spans="1:8" x14ac:dyDescent="0.25">
      <c r="A26" s="1" t="s">
        <v>30</v>
      </c>
      <c r="B26">
        <v>124500</v>
      </c>
      <c r="C26">
        <v>0.21096470962643904</v>
      </c>
      <c r="D26">
        <v>4877.9447621990266</v>
      </c>
      <c r="E26">
        <v>22.247138993155936</v>
      </c>
      <c r="F26">
        <v>89821.599730554837</v>
      </c>
      <c r="G26">
        <v>0.72145863237393448</v>
      </c>
      <c r="H26">
        <v>1</v>
      </c>
    </row>
    <row r="27" spans="1:8" x14ac:dyDescent="0.25">
      <c r="A27" s="1" t="s">
        <v>31</v>
      </c>
      <c r="B27">
        <v>89293</v>
      </c>
      <c r="C27">
        <v>0.22709318409336338</v>
      </c>
      <c r="D27">
        <v>3416.4434446345417</v>
      </c>
      <c r="E27">
        <v>20.879277124188881</v>
      </c>
      <c r="F27">
        <v>67339.494757045439</v>
      </c>
      <c r="G27">
        <v>0.7541408033893523</v>
      </c>
      <c r="H27">
        <v>0</v>
      </c>
    </row>
    <row r="28" spans="1:8" x14ac:dyDescent="0.25">
      <c r="A28" s="1" t="s">
        <v>32</v>
      </c>
      <c r="B28">
        <v>78623</v>
      </c>
      <c r="C28">
        <v>0.22289766013060922</v>
      </c>
      <c r="D28">
        <v>2953.9743390288545</v>
      </c>
      <c r="E28">
        <v>19.073408715608082</v>
      </c>
      <c r="F28">
        <v>56657.148569111276</v>
      </c>
      <c r="G28">
        <v>0.72061799434149387</v>
      </c>
      <c r="H28">
        <v>0</v>
      </c>
    </row>
    <row r="29" spans="1:8" x14ac:dyDescent="0.25">
      <c r="A29" s="1" t="s">
        <v>33</v>
      </c>
      <c r="B29">
        <v>112241</v>
      </c>
      <c r="C29">
        <v>0.22050540390401385</v>
      </c>
      <c r="D29">
        <v>5756.067001633317</v>
      </c>
      <c r="E29">
        <v>39.225977169593243</v>
      </c>
      <c r="F29">
        <v>76263.670889471832</v>
      </c>
      <c r="G29">
        <v>0.67946357293209991</v>
      </c>
      <c r="H29">
        <v>0</v>
      </c>
    </row>
    <row r="30" spans="1:8" x14ac:dyDescent="0.25">
      <c r="A30" s="1" t="s">
        <v>34</v>
      </c>
      <c r="B30">
        <v>80550</v>
      </c>
      <c r="C30">
        <v>0.22386530180166245</v>
      </c>
      <c r="D30">
        <v>4917.7394210743269</v>
      </c>
      <c r="E30">
        <v>34.504506246256014</v>
      </c>
      <c r="F30">
        <v>60723.16613530305</v>
      </c>
      <c r="G30">
        <v>0.75385681111487335</v>
      </c>
      <c r="H30">
        <v>1</v>
      </c>
    </row>
    <row r="31" spans="1:8" x14ac:dyDescent="0.25">
      <c r="A31" s="1" t="s">
        <v>35</v>
      </c>
      <c r="B31">
        <v>182006</v>
      </c>
      <c r="C31">
        <v>0.1698710724747437</v>
      </c>
      <c r="D31">
        <v>3808.0030370052209</v>
      </c>
      <c r="E31">
        <v>19.489939482220418</v>
      </c>
      <c r="F31">
        <v>175871.51304077572</v>
      </c>
      <c r="G31">
        <v>0.96629513884583873</v>
      </c>
      <c r="H31">
        <v>0</v>
      </c>
    </row>
    <row r="32" spans="1:8" x14ac:dyDescent="0.25">
      <c r="A32" s="1" t="s">
        <v>36</v>
      </c>
      <c r="B32">
        <v>82480</v>
      </c>
      <c r="C32">
        <v>0.22242318639966654</v>
      </c>
      <c r="D32">
        <v>3413.6300148926757</v>
      </c>
      <c r="E32">
        <v>28.772479142871358</v>
      </c>
      <c r="F32">
        <v>59293.80229983716</v>
      </c>
      <c r="G32">
        <v>0.71888703079337002</v>
      </c>
      <c r="H32">
        <v>0</v>
      </c>
    </row>
    <row r="33" spans="1:8" x14ac:dyDescent="0.25">
      <c r="A33" s="1" t="s">
        <v>37</v>
      </c>
      <c r="B33">
        <v>102513</v>
      </c>
      <c r="C33">
        <v>0.21872294095159131</v>
      </c>
      <c r="D33">
        <v>4266.3123195790859</v>
      </c>
      <c r="E33">
        <v>18.373422837109668</v>
      </c>
      <c r="F33">
        <v>69939.975934924296</v>
      </c>
      <c r="G33">
        <v>0.68225469876917366</v>
      </c>
      <c r="H33">
        <v>1</v>
      </c>
    </row>
    <row r="34" spans="1:8" x14ac:dyDescent="0.25">
      <c r="A34" s="1" t="s">
        <v>38</v>
      </c>
      <c r="B34">
        <v>88139</v>
      </c>
      <c r="C34">
        <v>0.22621316645651987</v>
      </c>
      <c r="D34">
        <v>4361.3214918206031</v>
      </c>
      <c r="E34">
        <v>21.121368108715089</v>
      </c>
      <c r="F34">
        <v>56611.509559858736</v>
      </c>
      <c r="G34">
        <v>0.64229806963839775</v>
      </c>
      <c r="H34">
        <v>1</v>
      </c>
    </row>
    <row r="35" spans="1:8" x14ac:dyDescent="0.25">
      <c r="A35" s="1" t="s">
        <v>39</v>
      </c>
      <c r="B35">
        <v>86745</v>
      </c>
      <c r="C35">
        <v>0.2123420584804106</v>
      </c>
      <c r="D35">
        <v>4443.7770748465919</v>
      </c>
      <c r="E35">
        <v>30.659178509320807</v>
      </c>
      <c r="F35">
        <v>62979.296668401359</v>
      </c>
      <c r="G35">
        <v>0.7260279747351589</v>
      </c>
      <c r="H35">
        <v>1</v>
      </c>
    </row>
    <row r="36" spans="1:8" x14ac:dyDescent="0.25">
      <c r="A36" s="1" t="s">
        <v>40</v>
      </c>
      <c r="B36">
        <v>120760</v>
      </c>
      <c r="C36">
        <v>0.22280360941697969</v>
      </c>
      <c r="D36">
        <v>4733.0108562578789</v>
      </c>
      <c r="E36">
        <v>23.719264217337283</v>
      </c>
      <c r="F36">
        <v>80333.331459257781</v>
      </c>
      <c r="G36">
        <v>0.66523129727772257</v>
      </c>
      <c r="H36">
        <v>1</v>
      </c>
    </row>
    <row r="37" spans="1:8" x14ac:dyDescent="0.25">
      <c r="A37" s="1" t="s">
        <v>41</v>
      </c>
      <c r="B37">
        <v>102001</v>
      </c>
      <c r="C37">
        <v>0.21129133015085655</v>
      </c>
      <c r="D37">
        <v>3709.9924606500213</v>
      </c>
      <c r="E37">
        <v>20.392757902963929</v>
      </c>
      <c r="F37">
        <v>70837.90537560606</v>
      </c>
      <c r="G37">
        <v>0.69448245973672862</v>
      </c>
      <c r="H37">
        <v>0</v>
      </c>
    </row>
    <row r="38" spans="1:8" x14ac:dyDescent="0.25">
      <c r="A38" s="1" t="s">
        <v>42</v>
      </c>
      <c r="B38">
        <v>80808</v>
      </c>
      <c r="C38">
        <v>0.24222768237748574</v>
      </c>
      <c r="D38">
        <v>4574.7038174897489</v>
      </c>
      <c r="E38">
        <v>40.476178576652032</v>
      </c>
      <c r="F38">
        <v>53827.61212919229</v>
      </c>
      <c r="G38">
        <v>0.66611736621612083</v>
      </c>
      <c r="H38">
        <v>1</v>
      </c>
    </row>
    <row r="39" spans="1:8" x14ac:dyDescent="0.25">
      <c r="A39" s="1" t="s">
        <v>43</v>
      </c>
      <c r="B39">
        <v>92941</v>
      </c>
      <c r="C39">
        <v>0.21799895386049351</v>
      </c>
      <c r="D39">
        <v>3223.8243849835803</v>
      </c>
      <c r="E39">
        <v>24.182688158729491</v>
      </c>
      <c r="F39">
        <v>74744.256842301955</v>
      </c>
      <c r="G39">
        <v>0.80421188541442368</v>
      </c>
      <c r="H39">
        <v>1</v>
      </c>
    </row>
    <row r="40" spans="1:8" x14ac:dyDescent="0.25">
      <c r="A40" s="1" t="s">
        <v>44</v>
      </c>
      <c r="B40">
        <v>99277</v>
      </c>
      <c r="C40">
        <v>0.21116262810237968</v>
      </c>
      <c r="D40">
        <v>4744.8587492504312</v>
      </c>
      <c r="E40">
        <v>29.512646917430189</v>
      </c>
      <c r="F40">
        <v>72589.643165957095</v>
      </c>
      <c r="G40">
        <v>0.731182883910242</v>
      </c>
      <c r="H40">
        <v>1</v>
      </c>
    </row>
    <row r="41" spans="1:8" x14ac:dyDescent="0.25">
      <c r="A41" s="1" t="s">
        <v>45</v>
      </c>
      <c r="B41">
        <v>80566</v>
      </c>
      <c r="C41">
        <v>0.22104881899534862</v>
      </c>
      <c r="D41">
        <v>3530.4285711838806</v>
      </c>
      <c r="E41">
        <v>22.905584667730423</v>
      </c>
      <c r="F41">
        <v>52925.595484652556</v>
      </c>
      <c r="G41">
        <v>0.65692221885972446</v>
      </c>
      <c r="H41">
        <v>1</v>
      </c>
    </row>
    <row r="42" spans="1:8" x14ac:dyDescent="0.25">
      <c r="A42" s="1" t="s">
        <v>46</v>
      </c>
      <c r="B42">
        <v>123225</v>
      </c>
      <c r="C42">
        <v>0.21965538920600114</v>
      </c>
      <c r="D42">
        <v>3982.1772071511045</v>
      </c>
      <c r="E42">
        <v>26.717794239822688</v>
      </c>
      <c r="F42">
        <v>82179.8076131446</v>
      </c>
      <c r="G42">
        <v>0.66690856249255104</v>
      </c>
      <c r="H42">
        <v>1</v>
      </c>
    </row>
    <row r="43" spans="1:8" x14ac:dyDescent="0.25">
      <c r="A43" s="1" t="s">
        <v>47</v>
      </c>
      <c r="B43">
        <v>86309</v>
      </c>
      <c r="C43">
        <v>0.214311418395433</v>
      </c>
      <c r="D43">
        <v>3589.2616267854528</v>
      </c>
      <c r="E43">
        <v>27.34840282680846</v>
      </c>
      <c r="F43">
        <v>64009.709010864062</v>
      </c>
      <c r="G43">
        <v>0.74163423294052833</v>
      </c>
      <c r="H43">
        <v>1</v>
      </c>
    </row>
    <row r="44" spans="1:8" x14ac:dyDescent="0.25">
      <c r="A44" s="1" t="s">
        <v>48</v>
      </c>
      <c r="B44">
        <v>98572</v>
      </c>
      <c r="C44">
        <v>0.22702262384916019</v>
      </c>
      <c r="D44">
        <v>5118.8047175873171</v>
      </c>
      <c r="E44">
        <v>34.253484946412584</v>
      </c>
      <c r="F44">
        <v>77362.560517475329</v>
      </c>
      <c r="G44">
        <v>0.78483302071049921</v>
      </c>
      <c r="H44">
        <v>1</v>
      </c>
    </row>
    <row r="45" spans="1:8" x14ac:dyDescent="0.25">
      <c r="A45" s="1" t="s">
        <v>49</v>
      </c>
      <c r="B45">
        <v>115244</v>
      </c>
      <c r="C45">
        <v>0.20528948838276981</v>
      </c>
      <c r="D45">
        <v>4991.8946922208988</v>
      </c>
      <c r="E45">
        <v>28.440660691109745</v>
      </c>
      <c r="F45">
        <v>82660.198321939126</v>
      </c>
      <c r="G45">
        <v>0.71726248934381942</v>
      </c>
      <c r="H45">
        <v>0</v>
      </c>
    </row>
    <row r="46" spans="1:8" x14ac:dyDescent="0.25">
      <c r="A46" s="1" t="s">
        <v>50</v>
      </c>
      <c r="B46">
        <v>122408</v>
      </c>
      <c r="C46">
        <v>0.19928407324199618</v>
      </c>
      <c r="D46">
        <v>5570.7025701298498</v>
      </c>
      <c r="E46">
        <v>28.872997902524631</v>
      </c>
      <c r="F46">
        <v>85847.140994876972</v>
      </c>
      <c r="G46">
        <v>0.70131969311545794</v>
      </c>
      <c r="H46">
        <v>1</v>
      </c>
    </row>
    <row r="47" spans="1:8" x14ac:dyDescent="0.25">
      <c r="A47" s="1" t="s">
        <v>51</v>
      </c>
      <c r="B47">
        <v>89062</v>
      </c>
      <c r="C47">
        <v>0.21377299870328539</v>
      </c>
      <c r="D47">
        <v>3835.5060834803007</v>
      </c>
      <c r="E47">
        <v>19.277191674203983</v>
      </c>
      <c r="F47">
        <v>60052.758900936627</v>
      </c>
      <c r="G47">
        <v>0.67428037660210449</v>
      </c>
      <c r="H47">
        <v>1</v>
      </c>
    </row>
    <row r="48" spans="1:8" x14ac:dyDescent="0.25">
      <c r="A48" s="1" t="s">
        <v>52</v>
      </c>
      <c r="B48">
        <v>95749</v>
      </c>
      <c r="C48">
        <v>0.20841590069867588</v>
      </c>
      <c r="D48">
        <v>4143.243068605756</v>
      </c>
      <c r="E48">
        <v>32.522991969296278</v>
      </c>
      <c r="F48">
        <v>74489.40810560988</v>
      </c>
      <c r="G48">
        <v>0.77796538977545338</v>
      </c>
      <c r="H48">
        <v>0</v>
      </c>
    </row>
    <row r="49" spans="1:8" x14ac:dyDescent="0.25">
      <c r="A49" s="1" t="s">
        <v>53</v>
      </c>
      <c r="B49">
        <v>18175</v>
      </c>
      <c r="C49">
        <v>0.57968437583920307</v>
      </c>
      <c r="D49">
        <v>6095.2126135349363</v>
      </c>
      <c r="E49">
        <v>28.166946387827267</v>
      </c>
      <c r="F49">
        <v>14977.448647761179</v>
      </c>
      <c r="G49">
        <v>0.82406870138988608</v>
      </c>
      <c r="H49">
        <v>1</v>
      </c>
    </row>
    <row r="50" spans="1:8" x14ac:dyDescent="0.25">
      <c r="A50" s="1" t="s">
        <v>54</v>
      </c>
      <c r="B50">
        <v>105325</v>
      </c>
      <c r="C50">
        <v>0.20744467969469696</v>
      </c>
      <c r="D50">
        <v>4727.4714602091317</v>
      </c>
      <c r="E50">
        <v>32.890871368456665</v>
      </c>
      <c r="F50">
        <v>74226.366838996531</v>
      </c>
      <c r="G50">
        <v>0.70473645230473803</v>
      </c>
      <c r="H50">
        <v>1</v>
      </c>
    </row>
    <row r="51" spans="1:8" x14ac:dyDescent="0.25">
      <c r="A51" s="1" t="s">
        <v>55</v>
      </c>
      <c r="B51">
        <v>127255</v>
      </c>
      <c r="C51">
        <v>0.15422935050441219</v>
      </c>
      <c r="D51">
        <v>2663.9358790198635</v>
      </c>
      <c r="E51">
        <v>18.627991673855348</v>
      </c>
      <c r="F51">
        <v>77826.086978313557</v>
      </c>
      <c r="G51">
        <v>0.61157586718253554</v>
      </c>
      <c r="H51">
        <v>1</v>
      </c>
    </row>
    <row r="52" spans="1:8" x14ac:dyDescent="0.25">
      <c r="A52" s="1" t="s">
        <v>56</v>
      </c>
      <c r="B52">
        <v>78524</v>
      </c>
      <c r="C52">
        <v>0.23484981316828266</v>
      </c>
      <c r="D52">
        <v>5012.0598210929329</v>
      </c>
      <c r="E52">
        <v>36.780521781666053</v>
      </c>
      <c r="F52">
        <v>53398.418960814786</v>
      </c>
      <c r="G52">
        <v>0.68002673018204352</v>
      </c>
      <c r="H52">
        <v>1</v>
      </c>
    </row>
    <row r="53" spans="1:8" x14ac:dyDescent="0.25">
      <c r="A53" s="1" t="s">
        <v>57</v>
      </c>
      <c r="B53">
        <v>84622</v>
      </c>
      <c r="C53">
        <v>0.22424219664310791</v>
      </c>
      <c r="D53">
        <v>4764.3409738412092</v>
      </c>
      <c r="E53">
        <v>32.019738411893222</v>
      </c>
      <c r="F53">
        <v>64422.826301858877</v>
      </c>
      <c r="G53">
        <v>0.76130115456806591</v>
      </c>
      <c r="H53">
        <v>0</v>
      </c>
    </row>
    <row r="54" spans="1:8" x14ac:dyDescent="0.25">
      <c r="A54" s="1" t="s">
        <v>58</v>
      </c>
      <c r="B54">
        <v>116884</v>
      </c>
      <c r="C54">
        <v>0.21284203280276412</v>
      </c>
      <c r="D54">
        <v>5129.6426885027449</v>
      </c>
      <c r="E54">
        <v>36.79009190397845</v>
      </c>
      <c r="F54">
        <v>84880.595916043123</v>
      </c>
      <c r="G54">
        <v>0.72619516714043941</v>
      </c>
      <c r="H54">
        <v>0</v>
      </c>
    </row>
    <row r="55" spans="1:8" x14ac:dyDescent="0.25">
      <c r="A55" s="1" t="s">
        <v>59</v>
      </c>
      <c r="B55">
        <v>76492</v>
      </c>
      <c r="C55">
        <v>0.23287207579098271</v>
      </c>
      <c r="D55">
        <v>4630.6362335824897</v>
      </c>
      <c r="E55">
        <v>36.159692672282254</v>
      </c>
      <c r="F55">
        <v>59523.121089993539</v>
      </c>
      <c r="G55">
        <v>0.77816139060285439</v>
      </c>
      <c r="H55">
        <v>1</v>
      </c>
    </row>
    <row r="56" spans="1:8" x14ac:dyDescent="0.25">
      <c r="A56" s="1" t="s">
        <v>60</v>
      </c>
      <c r="B56">
        <v>102393</v>
      </c>
      <c r="C56">
        <v>0.22186596120079174</v>
      </c>
      <c r="D56">
        <v>3631.2041693078631</v>
      </c>
      <c r="E56">
        <v>22.478450992492803</v>
      </c>
      <c r="F56">
        <v>67662.564682157681</v>
      </c>
      <c r="G56">
        <v>0.66081240594725887</v>
      </c>
      <c r="H56">
        <v>1</v>
      </c>
    </row>
    <row r="57" spans="1:8" x14ac:dyDescent="0.25">
      <c r="A57" s="1" t="s">
        <v>61</v>
      </c>
      <c r="B57">
        <v>114781</v>
      </c>
      <c r="C57">
        <v>0.21516020611414208</v>
      </c>
      <c r="D57">
        <v>3820.6201244735312</v>
      </c>
      <c r="E57">
        <v>20.957561144232695</v>
      </c>
      <c r="F57">
        <v>74204.403451036196</v>
      </c>
      <c r="G57">
        <v>0.64648681794927898</v>
      </c>
      <c r="H57">
        <v>0</v>
      </c>
    </row>
    <row r="58" spans="1:8" x14ac:dyDescent="0.25">
      <c r="A58" s="1" t="s">
        <v>62</v>
      </c>
      <c r="B58">
        <v>95686</v>
      </c>
      <c r="C58">
        <v>0.22087448622711228</v>
      </c>
      <c r="D58">
        <v>3200.1710335434645</v>
      </c>
      <c r="E58">
        <v>21.288601958851554</v>
      </c>
      <c r="F58">
        <v>61349.761266053334</v>
      </c>
      <c r="G58">
        <v>0.64115713130503249</v>
      </c>
      <c r="H58">
        <v>0</v>
      </c>
    </row>
    <row r="59" spans="1:8" x14ac:dyDescent="0.25">
      <c r="A59" s="1" t="s">
        <v>63</v>
      </c>
      <c r="B59">
        <v>102218</v>
      </c>
      <c r="C59">
        <v>0.22173625987019177</v>
      </c>
      <c r="D59">
        <v>3749.0296341913654</v>
      </c>
      <c r="E59">
        <v>23.082905621339222</v>
      </c>
      <c r="F59">
        <v>77640.684452634683</v>
      </c>
      <c r="G59">
        <v>0.75955980798523437</v>
      </c>
      <c r="H59">
        <v>0</v>
      </c>
    </row>
    <row r="60" spans="1:8" x14ac:dyDescent="0.25">
      <c r="A60" s="1" t="s">
        <v>64</v>
      </c>
      <c r="B60">
        <v>85380</v>
      </c>
      <c r="C60">
        <v>0.21932856501119119</v>
      </c>
      <c r="D60">
        <v>4431.2654950626065</v>
      </c>
      <c r="E60">
        <v>28.151117243414358</v>
      </c>
      <c r="F60">
        <v>59769.581101478077</v>
      </c>
      <c r="G60">
        <v>0.70004194309531598</v>
      </c>
      <c r="H60">
        <v>1</v>
      </c>
    </row>
    <row r="61" spans="1:8" x14ac:dyDescent="0.25">
      <c r="A61" s="1" t="s">
        <v>65</v>
      </c>
      <c r="B61">
        <v>95399</v>
      </c>
      <c r="C61">
        <v>0.21909629004574521</v>
      </c>
      <c r="D61">
        <v>3662.8785851415546</v>
      </c>
      <c r="E61">
        <v>21.391775122085061</v>
      </c>
      <c r="F61">
        <v>63870.447514939355</v>
      </c>
      <c r="G61">
        <v>0.66950856418766813</v>
      </c>
      <c r="H61">
        <v>1</v>
      </c>
    </row>
    <row r="62" spans="1:8" x14ac:dyDescent="0.25">
      <c r="A62" s="1" t="s">
        <v>66</v>
      </c>
      <c r="B62">
        <v>95532</v>
      </c>
      <c r="C62">
        <v>0.21671368614595446</v>
      </c>
      <c r="D62">
        <v>4390.7118526415024</v>
      </c>
      <c r="E62">
        <v>31.674853320885727</v>
      </c>
      <c r="F62">
        <v>71420.411978533739</v>
      </c>
      <c r="G62">
        <v>0.74760720992477636</v>
      </c>
      <c r="H62">
        <v>1</v>
      </c>
    </row>
    <row r="63" spans="1:8" x14ac:dyDescent="0.25">
      <c r="A63" s="1" t="s">
        <v>67</v>
      </c>
      <c r="B63">
        <v>121880</v>
      </c>
      <c r="C63">
        <v>0.20475273543369021</v>
      </c>
      <c r="D63">
        <v>4559.541080329971</v>
      </c>
      <c r="E63">
        <v>33.934710758570759</v>
      </c>
      <c r="F63">
        <v>81701.565859830385</v>
      </c>
      <c r="G63">
        <v>0.67034432113415154</v>
      </c>
      <c r="H63">
        <v>1</v>
      </c>
    </row>
    <row r="64" spans="1:8" x14ac:dyDescent="0.25">
      <c r="A64" s="1" t="s">
        <v>68</v>
      </c>
      <c r="B64">
        <v>115041</v>
      </c>
      <c r="C64">
        <v>0.20865268447145405</v>
      </c>
      <c r="D64">
        <v>3943.4804080286553</v>
      </c>
      <c r="E64">
        <v>22.877786683765621</v>
      </c>
      <c r="F64">
        <v>76643.234306934726</v>
      </c>
      <c r="G64">
        <v>0.66622538318455793</v>
      </c>
      <c r="H64">
        <v>1</v>
      </c>
    </row>
    <row r="65" spans="1:8" x14ac:dyDescent="0.25">
      <c r="A65" s="1" t="s">
        <v>69</v>
      </c>
      <c r="B65">
        <v>101672</v>
      </c>
      <c r="C65">
        <v>0.21567008484544434</v>
      </c>
      <c r="D65">
        <v>3989.9030488034691</v>
      </c>
      <c r="E65">
        <v>20.156634266879273</v>
      </c>
      <c r="F65">
        <v>64812.275729358385</v>
      </c>
      <c r="G65">
        <v>0.63746435330630247</v>
      </c>
      <c r="H65">
        <v>1</v>
      </c>
    </row>
    <row r="66" spans="1:8" x14ac:dyDescent="0.25">
      <c r="A66" s="1" t="s">
        <v>70</v>
      </c>
      <c r="B66">
        <v>180201</v>
      </c>
      <c r="C66">
        <v>0.17205027444364226</v>
      </c>
      <c r="D66">
        <v>3281.7719261112675</v>
      </c>
      <c r="E66">
        <v>20.496120587914277</v>
      </c>
      <c r="F66">
        <v>179819.28986989235</v>
      </c>
      <c r="G66">
        <v>0.99788175354128084</v>
      </c>
      <c r="H66">
        <v>1</v>
      </c>
    </row>
    <row r="67" spans="1:8" x14ac:dyDescent="0.25">
      <c r="A67" s="1" t="s">
        <v>71</v>
      </c>
      <c r="B67">
        <v>103551</v>
      </c>
      <c r="C67">
        <v>0.2085573872912348</v>
      </c>
      <c r="D67">
        <v>4662.4954566204615</v>
      </c>
      <c r="E67">
        <v>32.813806793954242</v>
      </c>
      <c r="F67">
        <v>71352.970108794994</v>
      </c>
      <c r="G67">
        <v>0.68906114000632535</v>
      </c>
      <c r="H67">
        <v>1</v>
      </c>
    </row>
    <row r="68" spans="1:8" x14ac:dyDescent="0.25">
      <c r="A68" s="1" t="s">
        <v>72</v>
      </c>
      <c r="B68">
        <v>81660</v>
      </c>
      <c r="C68">
        <v>0.23762909706024429</v>
      </c>
      <c r="D68">
        <v>4556.9967109141917</v>
      </c>
      <c r="E68">
        <v>37.527930182031774</v>
      </c>
      <c r="F68">
        <v>65239.697349102717</v>
      </c>
      <c r="G68">
        <v>0.79891865477715795</v>
      </c>
      <c r="H68">
        <v>1</v>
      </c>
    </row>
    <row r="69" spans="1:8" x14ac:dyDescent="0.25">
      <c r="A69" s="1" t="s">
        <v>73</v>
      </c>
      <c r="B69">
        <v>84968</v>
      </c>
      <c r="C69">
        <v>0.22358172901910153</v>
      </c>
      <c r="D69">
        <v>3636.7143003145256</v>
      </c>
      <c r="E69">
        <v>20.458280301662032</v>
      </c>
      <c r="F69">
        <v>58743.878249281101</v>
      </c>
      <c r="G69">
        <v>0.69136472847755748</v>
      </c>
      <c r="H69">
        <v>1</v>
      </c>
    </row>
    <row r="70" spans="1:8" x14ac:dyDescent="0.25">
      <c r="A70" s="1" t="s">
        <v>74</v>
      </c>
      <c r="B70">
        <v>69840</v>
      </c>
      <c r="C70">
        <v>0.22641297933300086</v>
      </c>
      <c r="D70">
        <v>2731.6350511047885</v>
      </c>
      <c r="E70">
        <v>17.6168140249898</v>
      </c>
      <c r="F70">
        <v>48694.632725201678</v>
      </c>
      <c r="G70">
        <v>0.69723128186142147</v>
      </c>
      <c r="H70">
        <v>1</v>
      </c>
    </row>
    <row r="71" spans="1:8" x14ac:dyDescent="0.25">
      <c r="A71" s="1" t="s">
        <v>75</v>
      </c>
      <c r="B71">
        <v>117425</v>
      </c>
      <c r="C71">
        <v>0.2119789419769017</v>
      </c>
      <c r="D71">
        <v>5410.6585345409385</v>
      </c>
      <c r="E71">
        <v>30.855622254637744</v>
      </c>
      <c r="F71">
        <v>80637.427601643984</v>
      </c>
      <c r="G71">
        <v>0.68671430787007859</v>
      </c>
      <c r="H71">
        <v>1</v>
      </c>
    </row>
    <row r="72" spans="1:8" x14ac:dyDescent="0.25">
      <c r="A72" s="1" t="s">
        <v>76</v>
      </c>
      <c r="B72">
        <v>97756</v>
      </c>
      <c r="C72">
        <v>0.22554005169583152</v>
      </c>
      <c r="D72">
        <v>3818.5688389244865</v>
      </c>
      <c r="E72">
        <v>17.785997466786601</v>
      </c>
      <c r="F72">
        <v>66056.569652160077</v>
      </c>
      <c r="G72">
        <v>0.67572905655059612</v>
      </c>
      <c r="H72">
        <v>1</v>
      </c>
    </row>
    <row r="73" spans="1:8" x14ac:dyDescent="0.25">
      <c r="A73" s="1" t="s">
        <v>77</v>
      </c>
      <c r="B73">
        <v>91919</v>
      </c>
      <c r="C73">
        <v>0.21444846595116418</v>
      </c>
      <c r="D73">
        <v>4630.7512972581644</v>
      </c>
      <c r="E73">
        <v>40.758145191838643</v>
      </c>
      <c r="F73">
        <v>65778.236659178889</v>
      </c>
      <c r="G73">
        <v>0.71561088196323819</v>
      </c>
      <c r="H73">
        <v>1</v>
      </c>
    </row>
    <row r="74" spans="1:8" x14ac:dyDescent="0.25">
      <c r="A74" s="1" t="s">
        <v>78</v>
      </c>
      <c r="B74">
        <v>82818</v>
      </c>
      <c r="C74">
        <v>0.20971597368710812</v>
      </c>
      <c r="D74">
        <v>4169.3333596223347</v>
      </c>
      <c r="E74">
        <v>28.186027333443565</v>
      </c>
      <c r="F74">
        <v>63756.862569729987</v>
      </c>
      <c r="G74">
        <v>0.76984306032178984</v>
      </c>
      <c r="H74">
        <v>1</v>
      </c>
    </row>
    <row r="75" spans="1:8" x14ac:dyDescent="0.25">
      <c r="A75" s="1" t="s">
        <v>79</v>
      </c>
      <c r="B75">
        <v>115011</v>
      </c>
      <c r="C75">
        <v>0.19855542363034864</v>
      </c>
      <c r="D75">
        <v>5275.9663216188828</v>
      </c>
      <c r="E75">
        <v>29.096641283301068</v>
      </c>
      <c r="F75">
        <v>76391.251336070505</v>
      </c>
      <c r="G75">
        <v>0.66420821778847683</v>
      </c>
      <c r="H75">
        <v>0</v>
      </c>
    </row>
    <row r="76" spans="1:8" x14ac:dyDescent="0.25">
      <c r="A76" s="1" t="s">
        <v>80</v>
      </c>
      <c r="B76">
        <v>113905</v>
      </c>
      <c r="C76">
        <v>0.20819752660139268</v>
      </c>
      <c r="D76">
        <v>4683.2448924190703</v>
      </c>
      <c r="E76">
        <v>29.294322346383673</v>
      </c>
      <c r="F76">
        <v>84882.926700492957</v>
      </c>
      <c r="G76">
        <v>0.74520808305599362</v>
      </c>
      <c r="H76">
        <v>0</v>
      </c>
    </row>
    <row r="77" spans="1:8" x14ac:dyDescent="0.25">
      <c r="A77" s="1" t="s">
        <v>81</v>
      </c>
      <c r="B77">
        <v>105983</v>
      </c>
      <c r="C77">
        <v>0.21260431755281151</v>
      </c>
      <c r="D77">
        <v>5487.0654419678085</v>
      </c>
      <c r="E77">
        <v>33.355888901719325</v>
      </c>
      <c r="F77">
        <v>77210.817620637245</v>
      </c>
      <c r="G77">
        <v>0.72852077805532245</v>
      </c>
      <c r="H77">
        <v>1</v>
      </c>
    </row>
    <row r="78" spans="1:8" x14ac:dyDescent="0.25">
      <c r="A78" s="1" t="s">
        <v>82</v>
      </c>
      <c r="B78">
        <v>116881</v>
      </c>
      <c r="C78">
        <v>0.20763143671738091</v>
      </c>
      <c r="D78">
        <v>4718.828011066943</v>
      </c>
      <c r="E78">
        <v>31.743613694930634</v>
      </c>
      <c r="F78">
        <v>84256.843644282053</v>
      </c>
      <c r="G78">
        <v>0.72087716262080281</v>
      </c>
      <c r="H78">
        <v>1</v>
      </c>
    </row>
    <row r="79" spans="1:8" x14ac:dyDescent="0.25">
      <c r="A79" s="1" t="s">
        <v>83</v>
      </c>
      <c r="B79">
        <v>120543</v>
      </c>
      <c r="C79">
        <v>0.21884380651281057</v>
      </c>
      <c r="D79">
        <v>4345.4839386919839</v>
      </c>
      <c r="E79">
        <v>22.088143580233101</v>
      </c>
      <c r="F79">
        <v>89851.231259815802</v>
      </c>
      <c r="G79">
        <v>0.74538738259223514</v>
      </c>
      <c r="H79">
        <v>0</v>
      </c>
    </row>
    <row r="80" spans="1:8" x14ac:dyDescent="0.25">
      <c r="A80" s="1" t="s">
        <v>84</v>
      </c>
      <c r="B80">
        <v>120299</v>
      </c>
      <c r="C80">
        <v>0.2110592421198193</v>
      </c>
      <c r="D80">
        <v>5938.8287962549366</v>
      </c>
      <c r="E80">
        <v>38.35650560428298</v>
      </c>
      <c r="F80">
        <v>79552.067043544477</v>
      </c>
      <c r="G80">
        <v>0.66128618727956567</v>
      </c>
      <c r="H80">
        <v>1</v>
      </c>
    </row>
    <row r="81" spans="1:8" x14ac:dyDescent="0.25">
      <c r="A81" s="1" t="s">
        <v>85</v>
      </c>
      <c r="B81">
        <v>102214</v>
      </c>
      <c r="C81">
        <v>0.2263789603513825</v>
      </c>
      <c r="D81">
        <v>5499.5727762366396</v>
      </c>
      <c r="E81">
        <v>35.0126951489177</v>
      </c>
      <c r="F81">
        <v>72891.107509548267</v>
      </c>
      <c r="G81">
        <v>0.7131225420152647</v>
      </c>
      <c r="H81">
        <v>1</v>
      </c>
    </row>
    <row r="82" spans="1:8" x14ac:dyDescent="0.25">
      <c r="A82" s="1" t="s">
        <v>86</v>
      </c>
      <c r="B82">
        <v>138393</v>
      </c>
      <c r="C82">
        <v>0.21012101177749706</v>
      </c>
      <c r="D82">
        <v>4812.3033276991737</v>
      </c>
      <c r="E82">
        <v>23.492369129715073</v>
      </c>
      <c r="F82">
        <v>87535.420924512655</v>
      </c>
      <c r="G82">
        <v>0.63251335634398165</v>
      </c>
      <c r="H82">
        <v>1</v>
      </c>
    </row>
    <row r="83" spans="1:8" x14ac:dyDescent="0.25">
      <c r="A83" s="1" t="s">
        <v>87</v>
      </c>
      <c r="B83">
        <v>91018</v>
      </c>
      <c r="C83">
        <v>0.21241596016116068</v>
      </c>
      <c r="D83">
        <v>3763.4084207368728</v>
      </c>
      <c r="E83">
        <v>20.615404994994186</v>
      </c>
      <c r="F83">
        <v>59719.792631285149</v>
      </c>
      <c r="G83">
        <v>0.65613167319964349</v>
      </c>
      <c r="H83">
        <v>1</v>
      </c>
    </row>
    <row r="84" spans="1:8" x14ac:dyDescent="0.25">
      <c r="A84" s="1" t="s">
        <v>88</v>
      </c>
      <c r="B84">
        <v>111495</v>
      </c>
      <c r="C84">
        <v>0.22090304084252807</v>
      </c>
      <c r="D84">
        <v>5798.5562297696333</v>
      </c>
      <c r="E84">
        <v>40.787605074060131</v>
      </c>
      <c r="F84">
        <v>71186.860482035205</v>
      </c>
      <c r="G84">
        <v>0.63847581041333878</v>
      </c>
      <c r="H84">
        <v>0</v>
      </c>
    </row>
    <row r="85" spans="1:8" x14ac:dyDescent="0.25">
      <c r="A85" s="1" t="s">
        <v>89</v>
      </c>
      <c r="B85">
        <v>119415</v>
      </c>
      <c r="C85">
        <v>0.21125128547154234</v>
      </c>
      <c r="D85">
        <v>4242.1486027405617</v>
      </c>
      <c r="E85">
        <v>25.430604689874592</v>
      </c>
      <c r="F85">
        <v>84262.067348769167</v>
      </c>
      <c r="G85">
        <v>0.70562381064999513</v>
      </c>
      <c r="H85">
        <v>1</v>
      </c>
    </row>
    <row r="86" spans="1:8" x14ac:dyDescent="0.25">
      <c r="A86" s="1" t="s">
        <v>90</v>
      </c>
      <c r="B86">
        <v>133090</v>
      </c>
      <c r="C86">
        <v>0.20454189956044513</v>
      </c>
      <c r="D86">
        <v>5980.4628085716395</v>
      </c>
      <c r="E86">
        <v>34.256724749505324</v>
      </c>
      <c r="F86">
        <v>90685.643320472213</v>
      </c>
      <c r="G86">
        <v>0.68138585408725083</v>
      </c>
      <c r="H86">
        <v>1</v>
      </c>
    </row>
    <row r="87" spans="1:8" x14ac:dyDescent="0.25">
      <c r="A87" s="1" t="s">
        <v>91</v>
      </c>
      <c r="B87">
        <v>124194</v>
      </c>
      <c r="C87">
        <v>0.20563915771433128</v>
      </c>
      <c r="D87">
        <v>6288.8245523507831</v>
      </c>
      <c r="E87">
        <v>33.17851964729374</v>
      </c>
      <c r="F87">
        <v>85252.222508689621</v>
      </c>
      <c r="G87">
        <v>0.68644397079319142</v>
      </c>
      <c r="H87">
        <v>0</v>
      </c>
    </row>
    <row r="88" spans="1:8" x14ac:dyDescent="0.25">
      <c r="A88" s="1" t="s">
        <v>92</v>
      </c>
      <c r="B88">
        <v>116241</v>
      </c>
      <c r="C88">
        <v>0.22271104286037652</v>
      </c>
      <c r="D88">
        <v>4304.6715453680054</v>
      </c>
      <c r="E88">
        <v>21.206406349292127</v>
      </c>
      <c r="F88">
        <v>80788.002461006166</v>
      </c>
      <c r="G88">
        <v>0.69500436559394851</v>
      </c>
      <c r="H88">
        <v>0</v>
      </c>
    </row>
    <row r="89" spans="1:8" x14ac:dyDescent="0.25">
      <c r="A89" s="1" t="s">
        <v>93</v>
      </c>
      <c r="B89">
        <v>71729</v>
      </c>
      <c r="C89">
        <v>0.211313751953425</v>
      </c>
      <c r="D89">
        <v>2817.5533917977559</v>
      </c>
      <c r="E89">
        <v>16.958606894891517</v>
      </c>
      <c r="F89">
        <v>48501.620545188882</v>
      </c>
      <c r="G89">
        <v>0.67617868010412641</v>
      </c>
      <c r="H89">
        <v>1</v>
      </c>
    </row>
    <row r="90" spans="1:8" x14ac:dyDescent="0.25">
      <c r="A90" s="1" t="s">
        <v>94</v>
      </c>
      <c r="B90">
        <v>111206</v>
      </c>
      <c r="C90">
        <v>0.20910479510444457</v>
      </c>
      <c r="D90">
        <v>3868.98095013588</v>
      </c>
      <c r="E90">
        <v>19.61018719679528</v>
      </c>
      <c r="F90">
        <v>68595.00295934717</v>
      </c>
      <c r="G90">
        <v>0.6168282553040948</v>
      </c>
      <c r="H90">
        <v>1</v>
      </c>
    </row>
    <row r="91" spans="1:8" x14ac:dyDescent="0.25">
      <c r="A91" s="1" t="s">
        <v>95</v>
      </c>
      <c r="B91">
        <v>80910</v>
      </c>
      <c r="C91">
        <v>0.2282299483790749</v>
      </c>
      <c r="D91">
        <v>4259.4166152577891</v>
      </c>
      <c r="E91">
        <v>32.518160959755129</v>
      </c>
      <c r="F91">
        <v>60682.194994101381</v>
      </c>
      <c r="G91">
        <v>0.74999623030653051</v>
      </c>
      <c r="H91">
        <v>1</v>
      </c>
    </row>
    <row r="92" spans="1:8" x14ac:dyDescent="0.25">
      <c r="A92" s="1" t="s">
        <v>96</v>
      </c>
      <c r="B92">
        <v>107035</v>
      </c>
      <c r="C92">
        <v>0.21622619039097407</v>
      </c>
      <c r="D92">
        <v>5680.9362889118192</v>
      </c>
      <c r="E92">
        <v>36.712008831089548</v>
      </c>
      <c r="F92">
        <v>75318.665275474472</v>
      </c>
      <c r="G92">
        <v>0.70368258303802</v>
      </c>
      <c r="H92">
        <v>1</v>
      </c>
    </row>
    <row r="93" spans="1:8" x14ac:dyDescent="0.25">
      <c r="A93" s="1" t="s">
        <v>97</v>
      </c>
      <c r="B93">
        <v>86651</v>
      </c>
      <c r="C93">
        <v>0.21054106383862853</v>
      </c>
      <c r="D93">
        <v>3320.6821165939996</v>
      </c>
      <c r="E93">
        <v>22.928784663231401</v>
      </c>
      <c r="F93">
        <v>57554.129018527819</v>
      </c>
      <c r="G93">
        <v>0.66420617209873889</v>
      </c>
      <c r="H93">
        <v>0</v>
      </c>
    </row>
    <row r="94" spans="1:8" x14ac:dyDescent="0.25">
      <c r="A94" s="1" t="s">
        <v>98</v>
      </c>
      <c r="B94">
        <v>124620</v>
      </c>
      <c r="C94">
        <v>0.22460189810351316</v>
      </c>
      <c r="D94">
        <v>5674.4953439487172</v>
      </c>
      <c r="E94">
        <v>43.757452253723059</v>
      </c>
      <c r="F94">
        <v>94623.941314689131</v>
      </c>
      <c r="G94">
        <v>0.75929980191533564</v>
      </c>
      <c r="H94">
        <v>0</v>
      </c>
    </row>
    <row r="95" spans="1:8" x14ac:dyDescent="0.25">
      <c r="A95" s="1" t="s">
        <v>99</v>
      </c>
      <c r="B95">
        <v>100709</v>
      </c>
      <c r="C95">
        <v>0.21011489464224695</v>
      </c>
      <c r="D95">
        <v>3016.3977149036559</v>
      </c>
      <c r="E95">
        <v>25.579935625136841</v>
      </c>
      <c r="F95">
        <v>72779.665860702255</v>
      </c>
      <c r="G95">
        <v>0.72267290769148984</v>
      </c>
      <c r="H95">
        <v>0</v>
      </c>
    </row>
    <row r="96" spans="1:8" x14ac:dyDescent="0.25">
      <c r="A96" s="1" t="s">
        <v>100</v>
      </c>
      <c r="B96">
        <v>113479</v>
      </c>
      <c r="C96">
        <v>0.20841150198927674</v>
      </c>
      <c r="D96">
        <v>5202.2866516582053</v>
      </c>
      <c r="E96">
        <v>34.984161691287071</v>
      </c>
      <c r="F96">
        <v>74211.114022239257</v>
      </c>
      <c r="G96">
        <v>0.65396341192854412</v>
      </c>
      <c r="H96">
        <v>0</v>
      </c>
    </row>
    <row r="97" spans="1:8" x14ac:dyDescent="0.25">
      <c r="A97" s="1" t="s">
        <v>101</v>
      </c>
      <c r="B97">
        <v>228390</v>
      </c>
      <c r="C97">
        <v>0.15962810711046094</v>
      </c>
      <c r="D97">
        <v>3050.9330876705521</v>
      </c>
      <c r="E97">
        <v>20.641177545413555</v>
      </c>
      <c r="F97">
        <v>342416.36504636955</v>
      </c>
      <c r="G97">
        <v>1.499261636001443</v>
      </c>
      <c r="H97">
        <v>1</v>
      </c>
    </row>
    <row r="98" spans="1:8" x14ac:dyDescent="0.25">
      <c r="A98" s="1" t="s">
        <v>102</v>
      </c>
      <c r="B98">
        <v>101454</v>
      </c>
      <c r="C98">
        <v>0.2142524645387022</v>
      </c>
      <c r="D98">
        <v>5036.5579635018939</v>
      </c>
      <c r="E98">
        <v>30.734383805703732</v>
      </c>
      <c r="F98">
        <v>69850.261068973137</v>
      </c>
      <c r="G98">
        <v>0.68849193791248386</v>
      </c>
      <c r="H98">
        <v>1</v>
      </c>
    </row>
    <row r="99" spans="1:8" x14ac:dyDescent="0.25">
      <c r="A99" s="1" t="s">
        <v>103</v>
      </c>
      <c r="B99">
        <v>98394</v>
      </c>
      <c r="C99">
        <v>0.21540795712778626</v>
      </c>
      <c r="D99">
        <v>3551.7918255677878</v>
      </c>
      <c r="E99">
        <v>21.219282886182732</v>
      </c>
      <c r="F99">
        <v>71328.031847758743</v>
      </c>
      <c r="G99">
        <v>0.72492257503261115</v>
      </c>
      <c r="H99">
        <v>1</v>
      </c>
    </row>
    <row r="100" spans="1:8" x14ac:dyDescent="0.25">
      <c r="A100" s="1" t="s">
        <v>104</v>
      </c>
      <c r="B100">
        <v>116009</v>
      </c>
      <c r="C100">
        <v>0.20276782032055976</v>
      </c>
      <c r="D100">
        <v>4585.5307082331774</v>
      </c>
      <c r="E100">
        <v>36.331153216903516</v>
      </c>
      <c r="F100">
        <v>84209.113450384961</v>
      </c>
      <c r="G100">
        <v>0.72588431458235969</v>
      </c>
      <c r="H100">
        <v>0</v>
      </c>
    </row>
    <row r="101" spans="1:8" x14ac:dyDescent="0.25">
      <c r="A101" s="1" t="s">
        <v>105</v>
      </c>
      <c r="B101">
        <v>94670</v>
      </c>
      <c r="C101">
        <v>0.21876875103612831</v>
      </c>
      <c r="D101">
        <v>3496.2647130764258</v>
      </c>
      <c r="E101">
        <v>19.411521884335663</v>
      </c>
      <c r="F101">
        <v>59886.721473155252</v>
      </c>
      <c r="G101">
        <v>0.63258393866225049</v>
      </c>
      <c r="H101">
        <v>0</v>
      </c>
    </row>
    <row r="102" spans="1:8" x14ac:dyDescent="0.25">
      <c r="A102" s="1" t="s">
        <v>106</v>
      </c>
      <c r="B102">
        <v>131407</v>
      </c>
      <c r="C102">
        <v>0.21505377448477861</v>
      </c>
      <c r="D102">
        <v>6537.6446759289274</v>
      </c>
      <c r="E102">
        <v>41.634881062536152</v>
      </c>
      <c r="F102">
        <v>86083.280696965579</v>
      </c>
      <c r="G102">
        <v>0.65508900360685185</v>
      </c>
      <c r="H102">
        <v>1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20B9-2704-4EB3-9BE6-48AE5F66D2D2}">
  <dimension ref="B2:S102"/>
  <sheetViews>
    <sheetView zoomScaleNormal="100" workbookViewId="0">
      <selection activeCell="O21" sqref="O21"/>
    </sheetView>
  </sheetViews>
  <sheetFormatPr baseColWidth="10" defaultRowHeight="15" x14ac:dyDescent="0.25"/>
  <cols>
    <col min="1" max="1" width="15.7109375" customWidth="1"/>
    <col min="12" max="12" width="18.7109375" customWidth="1"/>
  </cols>
  <sheetData>
    <row r="2" spans="2:19" x14ac:dyDescent="0.25">
      <c r="B2">
        <f>_xlfn.RANK.AVG(label_features!B2,label_features!B$2:B$102,1)</f>
        <v>62</v>
      </c>
      <c r="C2">
        <f>_xlfn.RANK.AVG(label_features!C2,label_features!C$2:C$102,1)</f>
        <v>94</v>
      </c>
      <c r="D2">
        <f>_xlfn.RANK.AVG(label_features!D2,label_features!D$2:D$102,1)</f>
        <v>2</v>
      </c>
      <c r="E2">
        <f>_xlfn.RANK.AVG(label_features!E2,label_features!E$2:E$102,1)</f>
        <v>7</v>
      </c>
      <c r="F2">
        <f>_xlfn.RANK.AVG(label_features!F2,label_features!F$2:F$102,1)</f>
        <v>45</v>
      </c>
      <c r="G2">
        <f>_xlfn.RANK.AVG(label_features!G2,label_features!G$2:G$102,1)</f>
        <v>5</v>
      </c>
      <c r="H2">
        <f>_xlfn.RANK.AVG(label_features!H2,label_features!H$2:H$102,1)</f>
        <v>69</v>
      </c>
    </row>
    <row r="3" spans="2:19" x14ac:dyDescent="0.25">
      <c r="B3">
        <f>_xlfn.RANK.AVG(label_features!B3,label_features!B$2:B$102,1)</f>
        <v>31</v>
      </c>
      <c r="C3">
        <f>_xlfn.RANK.AVG(label_features!C3,label_features!C$2:C$102,1)</f>
        <v>91</v>
      </c>
      <c r="D3">
        <f>_xlfn.RANK.AVG(label_features!D3,label_features!D$2:D$102,1)</f>
        <v>50</v>
      </c>
      <c r="E3">
        <f>_xlfn.RANK.AVG(label_features!E3,label_features!E$2:E$102,1)</f>
        <v>73</v>
      </c>
      <c r="F3">
        <f>_xlfn.RANK.AVG(label_features!F3,label_features!F$2:F$102,1)</f>
        <v>40</v>
      </c>
      <c r="G3">
        <f>_xlfn.RANK.AVG(label_features!G3,label_features!G$2:G$102,1)</f>
        <v>76</v>
      </c>
      <c r="H3">
        <f>_xlfn.RANK.AVG(label_features!H3,label_features!H$2:H$102,1)</f>
        <v>69</v>
      </c>
    </row>
    <row r="4" spans="2:19" x14ac:dyDescent="0.25">
      <c r="B4">
        <f>_xlfn.RANK.AVG(label_features!B4,label_features!B$2:B$102,1)</f>
        <v>69</v>
      </c>
      <c r="C4">
        <f>_xlfn.RANK.AVG(label_features!C4,label_features!C$2:C$102,1)</f>
        <v>64</v>
      </c>
      <c r="D4">
        <f>_xlfn.RANK.AVG(label_features!D4,label_features!D$2:D$102,1)</f>
        <v>26</v>
      </c>
      <c r="E4">
        <f>_xlfn.RANK.AVG(label_features!E4,label_features!E$2:E$102,1)</f>
        <v>42</v>
      </c>
      <c r="F4">
        <f>_xlfn.RANK.AVG(label_features!F4,label_features!F$2:F$102,1)</f>
        <v>73</v>
      </c>
      <c r="G4">
        <f>_xlfn.RANK.AVG(label_features!G4,label_features!G$2:G$102,1)</f>
        <v>49</v>
      </c>
      <c r="H4">
        <f>_xlfn.RANK.AVG(label_features!H4,label_features!H$2:H$102,1)</f>
        <v>18.5</v>
      </c>
    </row>
    <row r="5" spans="2:19" x14ac:dyDescent="0.25">
      <c r="B5">
        <f>_xlfn.RANK.AVG(label_features!B5,label_features!B$2:B$102,1)</f>
        <v>6</v>
      </c>
      <c r="C5">
        <f>_xlfn.RANK.AVG(label_features!C5,label_features!C$2:C$102,1)</f>
        <v>90</v>
      </c>
      <c r="D5">
        <f>_xlfn.RANK.AVG(label_features!D5,label_features!D$2:D$102,1)</f>
        <v>45</v>
      </c>
      <c r="E5">
        <f>_xlfn.RANK.AVG(label_features!E5,label_features!E$2:E$102,1)</f>
        <v>60</v>
      </c>
      <c r="F5">
        <f>_xlfn.RANK.AVG(label_features!F5,label_features!F$2:F$102,1)</f>
        <v>10</v>
      </c>
      <c r="G5">
        <f>_xlfn.RANK.AVG(label_features!G5,label_features!G$2:G$102,1)</f>
        <v>83</v>
      </c>
      <c r="H5">
        <f>_xlfn.RANK.AVG(label_features!H5,label_features!H$2:H$102,1)</f>
        <v>69</v>
      </c>
    </row>
    <row r="6" spans="2:19" x14ac:dyDescent="0.25">
      <c r="B6">
        <f>_xlfn.RANK.AVG(label_features!B6,label_features!B$2:B$102,1)</f>
        <v>77</v>
      </c>
      <c r="C6">
        <f>_xlfn.RANK.AVG(label_features!C6,label_features!C$2:C$102,1)</f>
        <v>55</v>
      </c>
      <c r="D6">
        <f>_xlfn.RANK.AVG(label_features!D6,label_features!D$2:D$102,1)</f>
        <v>64</v>
      </c>
      <c r="E6">
        <f>_xlfn.RANK.AVG(label_features!E6,label_features!E$2:E$102,1)</f>
        <v>43</v>
      </c>
      <c r="F6">
        <f>_xlfn.RANK.AVG(label_features!F6,label_features!F$2:F$102,1)</f>
        <v>57</v>
      </c>
      <c r="G6">
        <f>_xlfn.RANK.AVG(label_features!G6,label_features!G$2:G$102,1)</f>
        <v>10</v>
      </c>
      <c r="H6">
        <f>_xlfn.RANK.AVG(label_features!H6,label_features!H$2:H$102,1)</f>
        <v>69</v>
      </c>
      <c r="M6" s="2" t="s">
        <v>1</v>
      </c>
      <c r="N6" s="2" t="s">
        <v>2</v>
      </c>
      <c r="O6" s="2" t="s">
        <v>3</v>
      </c>
      <c r="P6" s="2" t="s">
        <v>4</v>
      </c>
      <c r="Q6" s="2" t="s">
        <v>5</v>
      </c>
      <c r="R6" s="2" t="s">
        <v>6</v>
      </c>
      <c r="S6" s="2" t="s">
        <v>7</v>
      </c>
    </row>
    <row r="7" spans="2:19" x14ac:dyDescent="0.25">
      <c r="B7">
        <f>_xlfn.RANK.AVG(label_features!B7,label_features!B$2:B$102,1)</f>
        <v>61</v>
      </c>
      <c r="C7">
        <f>_xlfn.RANK.AVG(label_features!C7,label_features!C$2:C$102,1)</f>
        <v>24</v>
      </c>
      <c r="D7">
        <f>_xlfn.RANK.AVG(label_features!D7,label_features!D$2:D$102,1)</f>
        <v>78</v>
      </c>
      <c r="E7">
        <f>_xlfn.RANK.AVG(label_features!E7,label_features!E$2:E$102,1)</f>
        <v>59</v>
      </c>
      <c r="F7">
        <f>_xlfn.RANK.AVG(label_features!F7,label_features!F$2:F$102,1)</f>
        <v>65</v>
      </c>
      <c r="G7">
        <f>_xlfn.RANK.AVG(label_features!G7,label_features!G$2:G$102,1)</f>
        <v>58</v>
      </c>
      <c r="H7">
        <f>_xlfn.RANK.AVG(label_features!H7,label_features!H$2:H$102,1)</f>
        <v>69</v>
      </c>
      <c r="L7" s="2" t="s">
        <v>1</v>
      </c>
      <c r="M7">
        <f>CORREL($B2:$B102,B2:B102)</f>
        <v>0.99999999999999989</v>
      </c>
      <c r="N7">
        <f t="shared" ref="N7:S7" si="0">CORREL($B2:$B102,C2:C102)</f>
        <v>-0.61191421948349967</v>
      </c>
      <c r="O7">
        <f t="shared" si="0"/>
        <v>0.30070940160984072</v>
      </c>
      <c r="P7">
        <f t="shared" si="0"/>
        <v>3.2522976924062572E-2</v>
      </c>
      <c r="Q7">
        <f t="shared" si="0"/>
        <v>0.92732419304110791</v>
      </c>
      <c r="R7">
        <f t="shared" si="0"/>
        <v>-0.27268279613731405</v>
      </c>
      <c r="S7">
        <f t="shared" si="0"/>
        <v>-2.481751202935575E-2</v>
      </c>
    </row>
    <row r="8" spans="2:19" x14ac:dyDescent="0.25">
      <c r="B8">
        <f>_xlfn.RANK.AVG(label_features!B8,label_features!B$2:B$102,1)</f>
        <v>47</v>
      </c>
      <c r="C8">
        <f>_xlfn.RANK.AVG(label_features!C8,label_features!C$2:C$102,1)</f>
        <v>47</v>
      </c>
      <c r="D8">
        <f>_xlfn.RANK.AVG(label_features!D8,label_features!D$2:D$102,1)</f>
        <v>17</v>
      </c>
      <c r="E8">
        <f>_xlfn.RANK.AVG(label_features!E8,label_features!E$2:E$102,1)</f>
        <v>14</v>
      </c>
      <c r="F8">
        <f>_xlfn.RANK.AVG(label_features!F8,label_features!F$2:F$102,1)</f>
        <v>34</v>
      </c>
      <c r="G8">
        <f>_xlfn.RANK.AVG(label_features!G8,label_features!G$2:G$102,1)</f>
        <v>21</v>
      </c>
      <c r="H8">
        <f>_xlfn.RANK.AVG(label_features!H8,label_features!H$2:H$102,1)</f>
        <v>69</v>
      </c>
      <c r="L8" s="2" t="s">
        <v>2</v>
      </c>
      <c r="M8">
        <f>CORREL($C3:$C103,B3:B103)</f>
        <v>-0.62475180031445821</v>
      </c>
      <c r="N8">
        <f>CORREL($C3:$C103,C3:C103)</f>
        <v>1</v>
      </c>
      <c r="O8">
        <f t="shared" ref="O8:S8" si="1">CORREL($C3:$C103,D3:D103)</f>
        <v>-3.686881078614896E-2</v>
      </c>
      <c r="P8">
        <f t="shared" si="1"/>
        <v>9.0520867234946178E-2</v>
      </c>
      <c r="Q8">
        <f t="shared" si="1"/>
        <v>-0.5855382176706444</v>
      </c>
      <c r="R8">
        <f t="shared" si="1"/>
        <v>0.16926296572915023</v>
      </c>
      <c r="S8">
        <f t="shared" si="1"/>
        <v>-2.1193348207361917E-2</v>
      </c>
    </row>
    <row r="9" spans="2:19" x14ac:dyDescent="0.25">
      <c r="B9">
        <f>_xlfn.RANK.AVG(label_features!B9,label_features!B$2:B$102,1)</f>
        <v>70</v>
      </c>
      <c r="C9">
        <f>_xlfn.RANK.AVG(label_features!C9,label_features!C$2:C$102,1)</f>
        <v>14</v>
      </c>
      <c r="D9">
        <f>_xlfn.RANK.AVG(label_features!D9,label_features!D$2:D$102,1)</f>
        <v>60</v>
      </c>
      <c r="E9">
        <f>_xlfn.RANK.AVG(label_features!E9,label_features!E$2:E$102,1)</f>
        <v>49</v>
      </c>
      <c r="F9">
        <f>_xlfn.RANK.AVG(label_features!F9,label_features!F$2:F$102,1)</f>
        <v>75</v>
      </c>
      <c r="G9">
        <f>_xlfn.RANK.AVG(label_features!G9,label_features!G$2:G$102,1)</f>
        <v>50</v>
      </c>
      <c r="H9">
        <f>_xlfn.RANK.AVG(label_features!H9,label_features!H$2:H$102,1)</f>
        <v>69</v>
      </c>
      <c r="L9" s="2" t="s">
        <v>3</v>
      </c>
      <c r="M9">
        <f t="shared" ref="M9:N9" si="2">CORREL($D4:$D104,B4:B104)</f>
        <v>0.31208206826912172</v>
      </c>
      <c r="N9">
        <f t="shared" si="2"/>
        <v>-3.6502925324959863E-2</v>
      </c>
      <c r="O9">
        <f>CORREL($D4:$D104,D4:D104)</f>
        <v>1</v>
      </c>
      <c r="P9">
        <f t="shared" ref="P9:S9" si="3">CORREL($D4:$D104,E4:E104)</f>
        <v>0.74608242107427547</v>
      </c>
      <c r="Q9">
        <f t="shared" si="3"/>
        <v>0.38095811805802859</v>
      </c>
      <c r="R9">
        <f t="shared" si="3"/>
        <v>6.9293294224211238E-2</v>
      </c>
      <c r="S9">
        <f t="shared" si="3"/>
        <v>0.12310474588928624</v>
      </c>
    </row>
    <row r="10" spans="2:19" x14ac:dyDescent="0.25">
      <c r="B10">
        <f>_xlfn.RANK.AVG(label_features!B10,label_features!B$2:B$102,1)</f>
        <v>1</v>
      </c>
      <c r="C10">
        <f>_xlfn.RANK.AVG(label_features!C10,label_features!C$2:C$102,1)</f>
        <v>101</v>
      </c>
      <c r="D10">
        <f>_xlfn.RANK.AVG(label_features!D10,label_features!D$2:D$102,1)</f>
        <v>22</v>
      </c>
      <c r="E10">
        <f>_xlfn.RANK.AVG(label_features!E10,label_features!E$2:E$102,1)</f>
        <v>61</v>
      </c>
      <c r="F10">
        <f>_xlfn.RANK.AVG(label_features!F10,label_features!F$2:F$102,1)</f>
        <v>1</v>
      </c>
      <c r="G10">
        <f>_xlfn.RANK.AVG(label_features!G10,label_features!G$2:G$102,1)</f>
        <v>96</v>
      </c>
      <c r="H10">
        <f>_xlfn.RANK.AVG(label_features!H10,label_features!H$2:H$102,1)</f>
        <v>18.5</v>
      </c>
      <c r="L10" s="2" t="s">
        <v>4</v>
      </c>
      <c r="M10">
        <f t="shared" ref="M10:O10" si="4">CORREL($E5:$E105,B5:B105)</f>
        <v>4.6110223045746919E-2</v>
      </c>
      <c r="N10">
        <f t="shared" si="4"/>
        <v>8.2752161079543821E-2</v>
      </c>
      <c r="O10">
        <f t="shared" si="4"/>
        <v>0.74656345177828398</v>
      </c>
      <c r="P10">
        <f>CORREL($E5:$E105,E5:E105)</f>
        <v>1.0000000000000002</v>
      </c>
      <c r="Q10">
        <f t="shared" ref="Q10" si="5">CORREL($E5:$E105,F5:F105)</f>
        <v>0.18312986322920594</v>
      </c>
      <c r="R10">
        <f t="shared" ref="R10" si="6">CORREL($E5:$E105,G5:G105)</f>
        <v>0.27407756983164144</v>
      </c>
      <c r="S10">
        <f t="shared" ref="S10" si="7">CORREL($E5:$E105,H5:H105)</f>
        <v>1.2466994717377829E-2</v>
      </c>
    </row>
    <row r="11" spans="2:19" x14ac:dyDescent="0.25">
      <c r="B11">
        <f>_xlfn.RANK.AVG(label_features!B11,label_features!B$2:B$102,1)</f>
        <v>45</v>
      </c>
      <c r="C11">
        <f>_xlfn.RANK.AVG(label_features!C11,label_features!C$2:C$102,1)</f>
        <v>43</v>
      </c>
      <c r="D11">
        <f>_xlfn.RANK.AVG(label_features!D11,label_features!D$2:D$102,1)</f>
        <v>85</v>
      </c>
      <c r="E11">
        <f>_xlfn.RANK.AVG(label_features!E11,label_features!E$2:E$102,1)</f>
        <v>65</v>
      </c>
      <c r="F11">
        <f>_xlfn.RANK.AVG(label_features!F11,label_features!F$2:F$102,1)</f>
        <v>47</v>
      </c>
      <c r="G11">
        <f>_xlfn.RANK.AVG(label_features!G11,label_features!G$2:G$102,1)</f>
        <v>59</v>
      </c>
      <c r="H11">
        <f>_xlfn.RANK.AVG(label_features!H11,label_features!H$2:H$102,1)</f>
        <v>18.5</v>
      </c>
      <c r="L11" s="2" t="s">
        <v>5</v>
      </c>
      <c r="M11">
        <f t="shared" ref="M11:P11" si="8">CORREL($F6:$F106,B6:B106)</f>
        <v>0.92746572589174425</v>
      </c>
      <c r="N11">
        <f t="shared" si="8"/>
        <v>-0.5842023270342932</v>
      </c>
      <c r="O11">
        <f t="shared" si="8"/>
        <v>0.3909246335869398</v>
      </c>
      <c r="P11">
        <f t="shared" si="8"/>
        <v>0.18937095213325478</v>
      </c>
      <c r="Q11">
        <f>CORREL($F6:$F106,F6:F106)</f>
        <v>1.0000000000000002</v>
      </c>
      <c r="R11">
        <f t="shared" ref="R11:S11" si="9">CORREL($F6:$F106,G6:G106)</f>
        <v>6.2474444747899094E-2</v>
      </c>
      <c r="S11">
        <f t="shared" si="9"/>
        <v>-2.8540520527644154E-2</v>
      </c>
    </row>
    <row r="12" spans="2:19" x14ac:dyDescent="0.25">
      <c r="B12">
        <f>_xlfn.RANK.AVG(label_features!B12,label_features!B$2:B$102,1)</f>
        <v>33</v>
      </c>
      <c r="C12">
        <f>_xlfn.RANK.AVG(label_features!C12,label_features!C$2:C$102,1)</f>
        <v>9</v>
      </c>
      <c r="D12">
        <f>_xlfn.RANK.AVG(label_features!D12,label_features!D$2:D$102,1)</f>
        <v>48</v>
      </c>
      <c r="E12">
        <f>_xlfn.RANK.AVG(label_features!E12,label_features!E$2:E$102,1)</f>
        <v>64</v>
      </c>
      <c r="F12">
        <f>_xlfn.RANK.AVG(label_features!F12,label_features!F$2:F$102,1)</f>
        <v>42</v>
      </c>
      <c r="G12">
        <f>_xlfn.RANK.AVG(label_features!G12,label_features!G$2:G$102,1)</f>
        <v>75</v>
      </c>
      <c r="H12">
        <f>_xlfn.RANK.AVG(label_features!H12,label_features!H$2:H$102,1)</f>
        <v>69</v>
      </c>
      <c r="L12" s="2" t="s">
        <v>6</v>
      </c>
      <c r="M12">
        <f t="shared" ref="M12:Q12" si="10">CORREL($G7:$G107,B7:B107)</f>
        <v>-0.24422104027093869</v>
      </c>
      <c r="N12">
        <f t="shared" si="10"/>
        <v>0.15117549907760561</v>
      </c>
      <c r="O12">
        <f t="shared" si="10"/>
        <v>7.8954087400093603E-2</v>
      </c>
      <c r="P12">
        <f t="shared" si="10"/>
        <v>0.27133562399887418</v>
      </c>
      <c r="Q12">
        <f t="shared" si="10"/>
        <v>6.5980308791111067E-2</v>
      </c>
      <c r="R12">
        <f>CORREL($G7:$G107,G7:G107)</f>
        <v>1</v>
      </c>
      <c r="S12">
        <f>CORREL($G7:$G107,H7:H107)</f>
        <v>-7.2048037401481385E-2</v>
      </c>
    </row>
    <row r="13" spans="2:19" x14ac:dyDescent="0.25">
      <c r="B13">
        <f>_xlfn.RANK.AVG(label_features!B13,label_features!B$2:B$102,1)</f>
        <v>39</v>
      </c>
      <c r="C13">
        <f>_xlfn.RANK.AVG(label_features!C13,label_features!C$2:C$102,1)</f>
        <v>83</v>
      </c>
      <c r="D13">
        <f>_xlfn.RANK.AVG(label_features!D13,label_features!D$2:D$102,1)</f>
        <v>32</v>
      </c>
      <c r="E13">
        <f>_xlfn.RANK.AVG(label_features!E13,label_features!E$2:E$102,1)</f>
        <v>4</v>
      </c>
      <c r="F13">
        <f>_xlfn.RANK.AVG(label_features!F13,label_features!F$2:F$102,1)</f>
        <v>36</v>
      </c>
      <c r="G13">
        <f>_xlfn.RANK.AVG(label_features!G13,label_features!G$2:G$102,1)</f>
        <v>35</v>
      </c>
      <c r="H13">
        <f>_xlfn.RANK.AVG(label_features!H13,label_features!H$2:H$102,1)</f>
        <v>18.5</v>
      </c>
      <c r="L13" s="2" t="s">
        <v>7</v>
      </c>
      <c r="M13">
        <f t="shared" ref="M13:R13" si="11">CORREL($H2:$H102,B2:B102)</f>
        <v>-2.481751202935575E-2</v>
      </c>
      <c r="N13">
        <f t="shared" si="11"/>
        <v>-9.9270048117422998E-3</v>
      </c>
      <c r="O13">
        <f t="shared" si="11"/>
        <v>0.10777890938463069</v>
      </c>
      <c r="P13">
        <f t="shared" si="11"/>
        <v>1.0636076584009608E-2</v>
      </c>
      <c r="Q13">
        <f t="shared" si="11"/>
        <v>-5.2471311147780732E-2</v>
      </c>
      <c r="R13">
        <f t="shared" si="11"/>
        <v>-7.5161607860334559E-2</v>
      </c>
      <c r="S13">
        <f>CORREL($H2:$H102,H2:H102)</f>
        <v>1.0000000000000002</v>
      </c>
    </row>
    <row r="14" spans="2:19" x14ac:dyDescent="0.25">
      <c r="B14">
        <f>_xlfn.RANK.AVG(label_features!B14,label_features!B$2:B$102,1)</f>
        <v>39</v>
      </c>
      <c r="C14">
        <f>_xlfn.RANK.AVG(label_features!C14,label_features!C$2:C$102,1)</f>
        <v>83</v>
      </c>
      <c r="D14">
        <f>_xlfn.RANK.AVG(label_features!D14,label_features!D$2:D$102,1)</f>
        <v>32</v>
      </c>
      <c r="E14">
        <f>_xlfn.RANK.AVG(label_features!E14,label_features!E$2:E$102,1)</f>
        <v>4</v>
      </c>
      <c r="F14">
        <f>_xlfn.RANK.AVG(label_features!F14,label_features!F$2:F$102,1)</f>
        <v>36</v>
      </c>
      <c r="G14">
        <f>_xlfn.RANK.AVG(label_features!G14,label_features!G$2:G$102,1)</f>
        <v>35</v>
      </c>
      <c r="H14">
        <f>_xlfn.RANK.AVG(label_features!H14,label_features!H$2:H$102,1)</f>
        <v>18.5</v>
      </c>
    </row>
    <row r="15" spans="2:19" x14ac:dyDescent="0.25">
      <c r="B15">
        <f>_xlfn.RANK.AVG(label_features!B15,label_features!B$2:B$102,1)</f>
        <v>57</v>
      </c>
      <c r="C15">
        <f>_xlfn.RANK.AVG(label_features!C15,label_features!C$2:C$102,1)</f>
        <v>35</v>
      </c>
      <c r="D15">
        <f>_xlfn.RANK.AVG(label_features!D15,label_features!D$2:D$102,1)</f>
        <v>20</v>
      </c>
      <c r="E15">
        <f>_xlfn.RANK.AVG(label_features!E15,label_features!E$2:E$102,1)</f>
        <v>46</v>
      </c>
      <c r="F15">
        <f>_xlfn.RANK.AVG(label_features!F15,label_features!F$2:F$102,1)</f>
        <v>43</v>
      </c>
      <c r="G15">
        <f>_xlfn.RANK.AVG(label_features!G15,label_features!G$2:G$102,1)</f>
        <v>29</v>
      </c>
      <c r="H15">
        <f>_xlfn.RANK.AVG(label_features!H15,label_features!H$2:H$102,1)</f>
        <v>18.5</v>
      </c>
    </row>
    <row r="16" spans="2:19" x14ac:dyDescent="0.25">
      <c r="B16">
        <f>_xlfn.RANK.AVG(label_features!B16,label_features!B$2:B$102,1)</f>
        <v>17</v>
      </c>
      <c r="C16">
        <f>_xlfn.RANK.AVG(label_features!C16,label_features!C$2:C$102,1)</f>
        <v>93</v>
      </c>
      <c r="D16">
        <f>_xlfn.RANK.AVG(label_features!D16,label_features!D$2:D$102,1)</f>
        <v>77</v>
      </c>
      <c r="E16">
        <f>_xlfn.RANK.AVG(label_features!E16,label_features!E$2:E$102,1)</f>
        <v>69</v>
      </c>
      <c r="F16">
        <f>_xlfn.RANK.AVG(label_features!F16,label_features!F$2:F$102,1)</f>
        <v>23</v>
      </c>
      <c r="G16">
        <f>_xlfn.RANK.AVG(label_features!G16,label_features!G$2:G$102,1)</f>
        <v>78</v>
      </c>
      <c r="H16">
        <f>_xlfn.RANK.AVG(label_features!H16,label_features!H$2:H$102,1)</f>
        <v>69</v>
      </c>
    </row>
    <row r="17" spans="2:8" x14ac:dyDescent="0.25">
      <c r="B17">
        <f>_xlfn.RANK.AVG(label_features!B17,label_features!B$2:B$102,1)</f>
        <v>80</v>
      </c>
      <c r="C17">
        <f>_xlfn.RANK.AVG(label_features!C17,label_features!C$2:C$102,1)</f>
        <v>15</v>
      </c>
      <c r="D17">
        <f>_xlfn.RANK.AVG(label_features!D17,label_features!D$2:D$102,1)</f>
        <v>71</v>
      </c>
      <c r="E17">
        <f>_xlfn.RANK.AVG(label_features!E17,label_features!E$2:E$102,1)</f>
        <v>67</v>
      </c>
      <c r="F17">
        <f>_xlfn.RANK.AVG(label_features!F17,label_features!F$2:F$102,1)</f>
        <v>82</v>
      </c>
      <c r="G17">
        <f>_xlfn.RANK.AVG(label_features!G17,label_features!G$2:G$102,1)</f>
        <v>57</v>
      </c>
      <c r="H17">
        <f>_xlfn.RANK.AVG(label_features!H17,label_features!H$2:H$102,1)</f>
        <v>18.5</v>
      </c>
    </row>
    <row r="18" spans="2:8" x14ac:dyDescent="0.25">
      <c r="B18">
        <f>_xlfn.RANK.AVG(label_features!B18,label_features!B$2:B$102,1)</f>
        <v>94.5</v>
      </c>
      <c r="C18">
        <f>_xlfn.RANK.AVG(label_features!C18,label_features!C$2:C$102,1)</f>
        <v>48.5</v>
      </c>
      <c r="D18">
        <f>_xlfn.RANK.AVG(label_features!D18,label_features!D$2:D$102,1)</f>
        <v>100.5</v>
      </c>
      <c r="E18">
        <f>_xlfn.RANK.AVG(label_features!E18,label_features!E$2:E$102,1)</f>
        <v>99.5</v>
      </c>
      <c r="F18">
        <f>_xlfn.RANK.AVG(label_features!F18,label_features!F$2:F$102,1)</f>
        <v>91.5</v>
      </c>
      <c r="G18">
        <f>_xlfn.RANK.AVG(label_features!G18,label_features!G$2:G$102,1)</f>
        <v>17.5</v>
      </c>
      <c r="H18">
        <f>_xlfn.RANK.AVG(label_features!H18,label_features!H$2:H$102,1)</f>
        <v>69</v>
      </c>
    </row>
    <row r="19" spans="2:8" x14ac:dyDescent="0.25">
      <c r="B19">
        <f>_xlfn.RANK.AVG(label_features!B19,label_features!B$2:B$102,1)</f>
        <v>64</v>
      </c>
      <c r="C19">
        <f>_xlfn.RANK.AVG(label_features!C19,label_features!C$2:C$102,1)</f>
        <v>81</v>
      </c>
      <c r="D19">
        <f>_xlfn.RANK.AVG(label_features!D19,label_features!D$2:D$102,1)</f>
        <v>90</v>
      </c>
      <c r="E19">
        <f>_xlfn.RANK.AVG(label_features!E19,label_features!E$2:E$102,1)</f>
        <v>92</v>
      </c>
      <c r="F19">
        <f>_xlfn.RANK.AVG(label_features!F19,label_features!F$2:F$102,1)</f>
        <v>76</v>
      </c>
      <c r="G19">
        <f>_xlfn.RANK.AVG(label_features!G19,label_features!G$2:G$102,1)</f>
        <v>67</v>
      </c>
      <c r="H19">
        <f>_xlfn.RANK.AVG(label_features!H19,label_features!H$2:H$102,1)</f>
        <v>69</v>
      </c>
    </row>
    <row r="20" spans="2:8" x14ac:dyDescent="0.25">
      <c r="B20">
        <f>_xlfn.RANK.AVG(label_features!B20,label_features!B$2:B$102,1)</f>
        <v>5</v>
      </c>
      <c r="C20">
        <f>_xlfn.RANK.AVG(label_features!C20,label_features!C$2:C$102,1)</f>
        <v>97</v>
      </c>
      <c r="D20">
        <f>_xlfn.RANK.AVG(label_features!D20,label_features!D$2:D$102,1)</f>
        <v>63</v>
      </c>
      <c r="E20">
        <f>_xlfn.RANK.AVG(label_features!E20,label_features!E$2:E$102,1)</f>
        <v>95</v>
      </c>
      <c r="F20">
        <f>_xlfn.RANK.AVG(label_features!F20,label_features!F$2:F$102,1)</f>
        <v>12</v>
      </c>
      <c r="G20">
        <f>_xlfn.RANK.AVG(label_features!G20,label_features!G$2:G$102,1)</f>
        <v>94</v>
      </c>
      <c r="H20">
        <f>_xlfn.RANK.AVG(label_features!H20,label_features!H$2:H$102,1)</f>
        <v>18.5</v>
      </c>
    </row>
    <row r="21" spans="2:8" x14ac:dyDescent="0.25">
      <c r="B21">
        <f>_xlfn.RANK.AVG(label_features!B21,label_features!B$2:B$102,1)</f>
        <v>93</v>
      </c>
      <c r="C21">
        <f>_xlfn.RANK.AVG(label_features!C21,label_features!C$2:C$102,1)</f>
        <v>42</v>
      </c>
      <c r="D21">
        <f>_xlfn.RANK.AVG(label_features!D21,label_features!D$2:D$102,1)</f>
        <v>55</v>
      </c>
      <c r="E21">
        <f>_xlfn.RANK.AVG(label_features!E21,label_features!E$2:E$102,1)</f>
        <v>37</v>
      </c>
      <c r="F21">
        <f>_xlfn.RANK.AVG(label_features!F21,label_features!F$2:F$102,1)</f>
        <v>61</v>
      </c>
      <c r="G21">
        <f>_xlfn.RANK.AVG(label_features!G21,label_features!G$2:G$102,1)</f>
        <v>1</v>
      </c>
      <c r="H21">
        <f>_xlfn.RANK.AVG(label_features!H21,label_features!H$2:H$102,1)</f>
        <v>69</v>
      </c>
    </row>
    <row r="22" spans="2:8" x14ac:dyDescent="0.25">
      <c r="B22">
        <f>_xlfn.RANK.AVG(label_features!B22,label_features!B$2:B$102,1)</f>
        <v>41.5</v>
      </c>
      <c r="C22">
        <f>_xlfn.RANK.AVG(label_features!C22,label_features!C$2:C$102,1)</f>
        <v>57.5</v>
      </c>
      <c r="D22">
        <f>_xlfn.RANK.AVG(label_features!D22,label_features!D$2:D$102,1)</f>
        <v>14.5</v>
      </c>
      <c r="E22">
        <f>_xlfn.RANK.AVG(label_features!E22,label_features!E$2:E$102,1)</f>
        <v>39.5</v>
      </c>
      <c r="F22">
        <f>_xlfn.RANK.AVG(label_features!F22,label_features!F$2:F$102,1)</f>
        <v>24.5</v>
      </c>
      <c r="G22">
        <f>_xlfn.RANK.AVG(label_features!G22,label_features!G$2:G$102,1)</f>
        <v>8.5</v>
      </c>
      <c r="H22">
        <f>_xlfn.RANK.AVG(label_features!H22,label_features!H$2:H$102,1)</f>
        <v>18.5</v>
      </c>
    </row>
    <row r="23" spans="2:8" x14ac:dyDescent="0.25">
      <c r="B23">
        <f>_xlfn.RANK.AVG(label_features!B23,label_features!B$2:B$102,1)</f>
        <v>41.5</v>
      </c>
      <c r="C23">
        <f>_xlfn.RANK.AVG(label_features!C23,label_features!C$2:C$102,1)</f>
        <v>57.5</v>
      </c>
      <c r="D23">
        <f>_xlfn.RANK.AVG(label_features!D23,label_features!D$2:D$102,1)</f>
        <v>14.5</v>
      </c>
      <c r="E23">
        <f>_xlfn.RANK.AVG(label_features!E23,label_features!E$2:E$102,1)</f>
        <v>39.5</v>
      </c>
      <c r="F23">
        <f>_xlfn.RANK.AVG(label_features!F23,label_features!F$2:F$102,1)</f>
        <v>24.5</v>
      </c>
      <c r="G23">
        <f>_xlfn.RANK.AVG(label_features!G23,label_features!G$2:G$102,1)</f>
        <v>8.5</v>
      </c>
      <c r="H23">
        <f>_xlfn.RANK.AVG(label_features!H23,label_features!H$2:H$102,1)</f>
        <v>18.5</v>
      </c>
    </row>
    <row r="24" spans="2:8" x14ac:dyDescent="0.25">
      <c r="B24">
        <f>_xlfn.RANK.AVG(label_features!B24,label_features!B$2:B$102,1)</f>
        <v>98</v>
      </c>
      <c r="C24">
        <f>_xlfn.RANK.AVG(label_features!C24,label_features!C$2:C$102,1)</f>
        <v>5</v>
      </c>
      <c r="D24">
        <f>_xlfn.RANK.AVG(label_features!D24,label_features!D$2:D$102,1)</f>
        <v>40</v>
      </c>
      <c r="E24">
        <f>_xlfn.RANK.AVG(label_features!E24,label_features!E$2:E$102,1)</f>
        <v>21</v>
      </c>
      <c r="F24">
        <f>_xlfn.RANK.AVG(label_features!F24,label_features!F$2:F$102,1)</f>
        <v>98</v>
      </c>
      <c r="G24">
        <f>_xlfn.RANK.AVG(label_features!G24,label_features!G$2:G$102,1)</f>
        <v>2</v>
      </c>
      <c r="H24">
        <f>_xlfn.RANK.AVG(label_features!H24,label_features!H$2:H$102,1)</f>
        <v>69</v>
      </c>
    </row>
    <row r="25" spans="2:8" x14ac:dyDescent="0.25">
      <c r="B25">
        <f>_xlfn.RANK.AVG(label_features!B25,label_features!B$2:B$102,1)</f>
        <v>29</v>
      </c>
      <c r="C25">
        <f>_xlfn.RANK.AVG(label_features!C25,label_features!C$2:C$102,1)</f>
        <v>80</v>
      </c>
      <c r="D25">
        <f>_xlfn.RANK.AVG(label_features!D25,label_features!D$2:D$102,1)</f>
        <v>67</v>
      </c>
      <c r="E25">
        <f>_xlfn.RANK.AVG(label_features!E25,label_features!E$2:E$102,1)</f>
        <v>71</v>
      </c>
      <c r="F25">
        <f>_xlfn.RANK.AVG(label_features!F25,label_features!F$2:F$102,1)</f>
        <v>53</v>
      </c>
      <c r="G25">
        <f>_xlfn.RANK.AVG(label_features!G25,label_features!G$2:G$102,1)</f>
        <v>90</v>
      </c>
      <c r="H25">
        <f>_xlfn.RANK.AVG(label_features!H25,label_features!H$2:H$102,1)</f>
        <v>18.5</v>
      </c>
    </row>
    <row r="26" spans="2:8" x14ac:dyDescent="0.25">
      <c r="B26">
        <f>_xlfn.RANK.AVG(label_features!B26,label_features!B$2:B$102,1)</f>
        <v>90</v>
      </c>
      <c r="C26">
        <f>_xlfn.RANK.AVG(label_features!C26,label_features!C$2:C$102,1)</f>
        <v>29</v>
      </c>
      <c r="D26">
        <f>_xlfn.RANK.AVG(label_features!D26,label_features!D$2:D$102,1)</f>
        <v>75</v>
      </c>
      <c r="E26">
        <f>_xlfn.RANK.AVG(label_features!E26,label_features!E$2:E$102,1)</f>
        <v>30</v>
      </c>
      <c r="F26">
        <f>_xlfn.RANK.AVG(label_features!F26,label_features!F$2:F$102,1)</f>
        <v>94</v>
      </c>
      <c r="G26">
        <f>_xlfn.RANK.AVG(label_features!G26,label_features!G$2:G$102,1)</f>
        <v>66</v>
      </c>
      <c r="H26">
        <f>_xlfn.RANK.AVG(label_features!H26,label_features!H$2:H$102,1)</f>
        <v>69</v>
      </c>
    </row>
    <row r="27" spans="2:8" x14ac:dyDescent="0.25">
      <c r="B27">
        <f>_xlfn.RANK.AVG(label_features!B27,label_features!B$2:B$102,1)</f>
        <v>26</v>
      </c>
      <c r="C27">
        <f>_xlfn.RANK.AVG(label_features!C27,label_features!C$2:C$102,1)</f>
        <v>89</v>
      </c>
      <c r="D27">
        <f>_xlfn.RANK.AVG(label_features!D27,label_features!D$2:D$102,1)</f>
        <v>13</v>
      </c>
      <c r="E27">
        <f>_xlfn.RANK.AVG(label_features!E27,label_features!E$2:E$102,1)</f>
        <v>22</v>
      </c>
      <c r="F27">
        <f>_xlfn.RANK.AVG(label_features!F27,label_features!F$2:F$102,1)</f>
        <v>38</v>
      </c>
      <c r="G27">
        <f>_xlfn.RANK.AVG(label_features!G27,label_features!G$2:G$102,1)</f>
        <v>85</v>
      </c>
      <c r="H27">
        <f>_xlfn.RANK.AVG(label_features!H27,label_features!H$2:H$102,1)</f>
        <v>18.5</v>
      </c>
    </row>
    <row r="28" spans="2:8" x14ac:dyDescent="0.25">
      <c r="B28">
        <f>_xlfn.RANK.AVG(label_features!B28,label_features!B$2:B$102,1)</f>
        <v>9</v>
      </c>
      <c r="C28">
        <f>_xlfn.RANK.AVG(label_features!C28,label_features!C$2:C$102,1)</f>
        <v>75</v>
      </c>
      <c r="D28">
        <f>_xlfn.RANK.AVG(label_features!D28,label_features!D$2:D$102,1)</f>
        <v>5</v>
      </c>
      <c r="E28">
        <f>_xlfn.RANK.AVG(label_features!E28,label_features!E$2:E$102,1)</f>
        <v>9</v>
      </c>
      <c r="F28">
        <f>_xlfn.RANK.AVG(label_features!F28,label_features!F$2:F$102,1)</f>
        <v>9</v>
      </c>
      <c r="G28">
        <f>_xlfn.RANK.AVG(label_features!G28,label_features!G$2:G$102,1)</f>
        <v>64</v>
      </c>
      <c r="H28">
        <f>_xlfn.RANK.AVG(label_features!H28,label_features!H$2:H$102,1)</f>
        <v>18.5</v>
      </c>
    </row>
    <row r="29" spans="2:8" x14ac:dyDescent="0.25">
      <c r="B29">
        <f>_xlfn.RANK.AVG(label_features!B29,label_features!B$2:B$102,1)</f>
        <v>66</v>
      </c>
      <c r="C29">
        <f>_xlfn.RANK.AVG(label_features!C29,label_features!C$2:C$102,1)</f>
        <v>66</v>
      </c>
      <c r="D29">
        <f>_xlfn.RANK.AVG(label_features!D29,label_features!D$2:D$102,1)</f>
        <v>94</v>
      </c>
      <c r="E29">
        <f>_xlfn.RANK.AVG(label_features!E29,label_features!E$2:E$102,1)</f>
        <v>94</v>
      </c>
      <c r="F29">
        <f>_xlfn.RANK.AVG(label_features!F29,label_features!F$2:F$102,1)</f>
        <v>66</v>
      </c>
      <c r="G29">
        <f>_xlfn.RANK.AVG(label_features!G29,label_features!G$2:G$102,1)</f>
        <v>38</v>
      </c>
      <c r="H29">
        <f>_xlfn.RANK.AVG(label_features!H29,label_features!H$2:H$102,1)</f>
        <v>18.5</v>
      </c>
    </row>
    <row r="30" spans="2:8" x14ac:dyDescent="0.25">
      <c r="B30">
        <f>_xlfn.RANK.AVG(label_features!B30,label_features!B$2:B$102,1)</f>
        <v>10</v>
      </c>
      <c r="C30">
        <f>_xlfn.RANK.AVG(label_features!C30,label_features!C$2:C$102,1)</f>
        <v>77</v>
      </c>
      <c r="D30">
        <f>_xlfn.RANK.AVG(label_features!D30,label_features!D$2:D$102,1)</f>
        <v>76</v>
      </c>
      <c r="E30">
        <f>_xlfn.RANK.AVG(label_features!E30,label_features!E$2:E$102,1)</f>
        <v>83</v>
      </c>
      <c r="F30">
        <f>_xlfn.RANK.AVG(label_features!F30,label_features!F$2:F$102,1)</f>
        <v>21</v>
      </c>
      <c r="G30">
        <f>_xlfn.RANK.AVG(label_features!G30,label_features!G$2:G$102,1)</f>
        <v>84</v>
      </c>
      <c r="H30">
        <f>_xlfn.RANK.AVG(label_features!H30,label_features!H$2:H$102,1)</f>
        <v>69</v>
      </c>
    </row>
    <row r="31" spans="2:8" x14ac:dyDescent="0.25">
      <c r="B31">
        <f>_xlfn.RANK.AVG(label_features!B31,label_features!B$2:B$102,1)</f>
        <v>100</v>
      </c>
      <c r="C31">
        <f>_xlfn.RANK.AVG(label_features!C31,label_features!C$2:C$102,1)</f>
        <v>3</v>
      </c>
      <c r="D31">
        <f>_xlfn.RANK.AVG(label_features!D31,label_features!D$2:D$102,1)</f>
        <v>30</v>
      </c>
      <c r="E31">
        <f>_xlfn.RANK.AVG(label_features!E31,label_features!E$2:E$102,1)</f>
        <v>12</v>
      </c>
      <c r="F31">
        <f>_xlfn.RANK.AVG(label_features!F31,label_features!F$2:F$102,1)</f>
        <v>99</v>
      </c>
      <c r="G31">
        <f>_xlfn.RANK.AVG(label_features!G31,label_features!G$2:G$102,1)</f>
        <v>99</v>
      </c>
      <c r="H31">
        <f>_xlfn.RANK.AVG(label_features!H31,label_features!H$2:H$102,1)</f>
        <v>18.5</v>
      </c>
    </row>
    <row r="32" spans="2:8" x14ac:dyDescent="0.25">
      <c r="B32">
        <f>_xlfn.RANK.AVG(label_features!B32,label_features!B$2:B$102,1)</f>
        <v>15</v>
      </c>
      <c r="C32">
        <f>_xlfn.RANK.AVG(label_features!C32,label_features!C$2:C$102,1)</f>
        <v>72</v>
      </c>
      <c r="D32">
        <f>_xlfn.RANK.AVG(label_features!D32,label_features!D$2:D$102,1)</f>
        <v>12</v>
      </c>
      <c r="E32">
        <f>_xlfn.RANK.AVG(label_features!E32,label_features!E$2:E$102,1)</f>
        <v>54</v>
      </c>
      <c r="F32">
        <f>_xlfn.RANK.AVG(label_features!F32,label_features!F$2:F$102,1)</f>
        <v>14</v>
      </c>
      <c r="G32">
        <f>_xlfn.RANK.AVG(label_features!G32,label_features!G$2:G$102,1)</f>
        <v>63</v>
      </c>
      <c r="H32">
        <f>_xlfn.RANK.AVG(label_features!H32,label_features!H$2:H$102,1)</f>
        <v>18.5</v>
      </c>
    </row>
    <row r="33" spans="2:8" x14ac:dyDescent="0.25">
      <c r="B33">
        <f>_xlfn.RANK.AVG(label_features!B33,label_features!B$2:B$102,1)</f>
        <v>55</v>
      </c>
      <c r="C33">
        <f>_xlfn.RANK.AVG(label_features!C33,label_features!C$2:C$102,1)</f>
        <v>59</v>
      </c>
      <c r="D33">
        <f>_xlfn.RANK.AVG(label_features!D33,label_features!D$2:D$102,1)</f>
        <v>46</v>
      </c>
      <c r="E33">
        <f>_xlfn.RANK.AVG(label_features!E33,label_features!E$2:E$102,1)</f>
        <v>6</v>
      </c>
      <c r="F33">
        <f>_xlfn.RANK.AVG(label_features!F33,label_features!F$2:F$102,1)</f>
        <v>46</v>
      </c>
      <c r="G33">
        <f>_xlfn.RANK.AVG(label_features!G33,label_features!G$2:G$102,1)</f>
        <v>41</v>
      </c>
      <c r="H33">
        <f>_xlfn.RANK.AVG(label_features!H33,label_features!H$2:H$102,1)</f>
        <v>69</v>
      </c>
    </row>
    <row r="34" spans="2:8" x14ac:dyDescent="0.25">
      <c r="B34">
        <f>_xlfn.RANK.AVG(label_features!B34,label_features!B$2:B$102,1)</f>
        <v>24</v>
      </c>
      <c r="C34">
        <f>_xlfn.RANK.AVG(label_features!C34,label_features!C$2:C$102,1)</f>
        <v>85</v>
      </c>
      <c r="D34">
        <f>_xlfn.RANK.AVG(label_features!D34,label_features!D$2:D$102,1)</f>
        <v>51</v>
      </c>
      <c r="E34">
        <f>_xlfn.RANK.AVG(label_features!E34,label_features!E$2:E$102,1)</f>
        <v>24</v>
      </c>
      <c r="F34">
        <f>_xlfn.RANK.AVG(label_features!F34,label_features!F$2:F$102,1)</f>
        <v>8</v>
      </c>
      <c r="G34">
        <f>_xlfn.RANK.AVG(label_features!G34,label_features!G$2:G$102,1)</f>
        <v>14</v>
      </c>
      <c r="H34">
        <f>_xlfn.RANK.AVG(label_features!H34,label_features!H$2:H$102,1)</f>
        <v>69</v>
      </c>
    </row>
    <row r="35" spans="2:8" x14ac:dyDescent="0.25">
      <c r="B35">
        <f>_xlfn.RANK.AVG(label_features!B35,label_features!B$2:B$102,1)</f>
        <v>23</v>
      </c>
      <c r="C35">
        <f>_xlfn.RANK.AVG(label_features!C35,label_features!C$2:C$102,1)</f>
        <v>37</v>
      </c>
      <c r="D35">
        <f>_xlfn.RANK.AVG(label_features!D35,label_features!D$2:D$102,1)</f>
        <v>54</v>
      </c>
      <c r="E35">
        <f>_xlfn.RANK.AVG(label_features!E35,label_features!E$2:E$102,1)</f>
        <v>62</v>
      </c>
      <c r="F35">
        <f>_xlfn.RANK.AVG(label_features!F35,label_features!F$2:F$102,1)</f>
        <v>26</v>
      </c>
      <c r="G35">
        <f>_xlfn.RANK.AVG(label_features!G35,label_features!G$2:G$102,1)</f>
        <v>71</v>
      </c>
      <c r="H35">
        <f>_xlfn.RANK.AVG(label_features!H35,label_features!H$2:H$102,1)</f>
        <v>69</v>
      </c>
    </row>
    <row r="36" spans="2:8" x14ac:dyDescent="0.25">
      <c r="B36">
        <f>_xlfn.RANK.AVG(label_features!B36,label_features!B$2:B$102,1)</f>
        <v>85</v>
      </c>
      <c r="C36">
        <f>_xlfn.RANK.AVG(label_features!C36,label_features!C$2:C$102,1)</f>
        <v>74</v>
      </c>
      <c r="D36">
        <f>_xlfn.RANK.AVG(label_features!D36,label_features!D$2:D$102,1)</f>
        <v>70</v>
      </c>
      <c r="E36">
        <f>_xlfn.RANK.AVG(label_features!E36,label_features!E$2:E$102,1)</f>
        <v>38</v>
      </c>
      <c r="F36">
        <f>_xlfn.RANK.AVG(label_features!F36,label_features!F$2:F$102,1)</f>
        <v>77</v>
      </c>
      <c r="G36">
        <f>_xlfn.RANK.AVG(label_features!G36,label_features!G$2:G$102,1)</f>
        <v>26</v>
      </c>
      <c r="H36">
        <f>_xlfn.RANK.AVG(label_features!H36,label_features!H$2:H$102,1)</f>
        <v>69</v>
      </c>
    </row>
    <row r="37" spans="2:8" x14ac:dyDescent="0.25">
      <c r="B37">
        <f>_xlfn.RANK.AVG(label_features!B37,label_features!B$2:B$102,1)</f>
        <v>51</v>
      </c>
      <c r="C37">
        <f>_xlfn.RANK.AVG(label_features!C37,label_features!C$2:C$102,1)</f>
        <v>33</v>
      </c>
      <c r="D37">
        <f>_xlfn.RANK.AVG(label_features!D37,label_features!D$2:D$102,1)</f>
        <v>27</v>
      </c>
      <c r="E37">
        <f>_xlfn.RANK.AVG(label_features!E37,label_features!E$2:E$102,1)</f>
        <v>16</v>
      </c>
      <c r="F37">
        <f>_xlfn.RANK.AVG(label_features!F37,label_features!F$2:F$102,1)</f>
        <v>48</v>
      </c>
      <c r="G37">
        <f>_xlfn.RANK.AVG(label_features!G37,label_features!G$2:G$102,1)</f>
        <v>47</v>
      </c>
      <c r="H37">
        <f>_xlfn.RANK.AVG(label_features!H37,label_features!H$2:H$102,1)</f>
        <v>18.5</v>
      </c>
    </row>
    <row r="38" spans="2:8" x14ac:dyDescent="0.25">
      <c r="B38">
        <f>_xlfn.RANK.AVG(label_features!B38,label_features!B$2:B$102,1)</f>
        <v>12</v>
      </c>
      <c r="C38">
        <f>_xlfn.RANK.AVG(label_features!C38,label_features!C$2:C$102,1)</f>
        <v>99</v>
      </c>
      <c r="D38">
        <f>_xlfn.RANK.AVG(label_features!D38,label_features!D$2:D$102,1)</f>
        <v>58</v>
      </c>
      <c r="E38">
        <f>_xlfn.RANK.AVG(label_features!E38,label_features!E$2:E$102,1)</f>
        <v>96</v>
      </c>
      <c r="F38">
        <f>_xlfn.RANK.AVG(label_features!F38,label_features!F$2:F$102,1)</f>
        <v>7</v>
      </c>
      <c r="G38">
        <f>_xlfn.RANK.AVG(label_features!G38,label_features!G$2:G$102,1)</f>
        <v>27</v>
      </c>
      <c r="H38">
        <f>_xlfn.RANK.AVG(label_features!H38,label_features!H$2:H$102,1)</f>
        <v>69</v>
      </c>
    </row>
    <row r="39" spans="2:8" x14ac:dyDescent="0.25">
      <c r="B39">
        <f>_xlfn.RANK.AVG(label_features!B39,label_features!B$2:B$102,1)</f>
        <v>30</v>
      </c>
      <c r="C39">
        <f>_xlfn.RANK.AVG(label_features!C39,label_features!C$2:C$102,1)</f>
        <v>56</v>
      </c>
      <c r="D39">
        <f>_xlfn.RANK.AVG(label_features!D39,label_features!D$2:D$102,1)</f>
        <v>9</v>
      </c>
      <c r="E39">
        <f>_xlfn.RANK.AVG(label_features!E39,label_features!E$2:E$102,1)</f>
        <v>41</v>
      </c>
      <c r="F39">
        <f>_xlfn.RANK.AVG(label_features!F39,label_features!F$2:F$102,1)</f>
        <v>63</v>
      </c>
      <c r="G39">
        <f>_xlfn.RANK.AVG(label_features!G39,label_features!G$2:G$102,1)</f>
        <v>97</v>
      </c>
      <c r="H39">
        <f>_xlfn.RANK.AVG(label_features!H39,label_features!H$2:H$102,1)</f>
        <v>69</v>
      </c>
    </row>
    <row r="40" spans="2:8" x14ac:dyDescent="0.25">
      <c r="B40">
        <f>_xlfn.RANK.AVG(label_features!B40,label_features!B$2:B$102,1)</f>
        <v>46</v>
      </c>
      <c r="C40">
        <f>_xlfn.RANK.AVG(label_features!C40,label_features!C$2:C$102,1)</f>
        <v>31</v>
      </c>
      <c r="D40">
        <f>_xlfn.RANK.AVG(label_features!D40,label_features!D$2:D$102,1)</f>
        <v>72</v>
      </c>
      <c r="E40">
        <f>_xlfn.RANK.AVG(label_features!E40,label_features!E$2:E$102,1)</f>
        <v>58</v>
      </c>
      <c r="F40">
        <f>_xlfn.RANK.AVG(label_features!F40,label_features!F$2:F$102,1)</f>
        <v>54</v>
      </c>
      <c r="G40">
        <f>_xlfn.RANK.AVG(label_features!G40,label_features!G$2:G$102,1)</f>
        <v>74</v>
      </c>
      <c r="H40">
        <f>_xlfn.RANK.AVG(label_features!H40,label_features!H$2:H$102,1)</f>
        <v>69</v>
      </c>
    </row>
    <row r="41" spans="2:8" x14ac:dyDescent="0.25">
      <c r="B41">
        <f>_xlfn.RANK.AVG(label_features!B41,label_features!B$2:B$102,1)</f>
        <v>11</v>
      </c>
      <c r="C41">
        <f>_xlfn.RANK.AVG(label_features!C41,label_features!C$2:C$102,1)</f>
        <v>69</v>
      </c>
      <c r="D41">
        <f>_xlfn.RANK.AVG(label_features!D41,label_features!D$2:D$102,1)</f>
        <v>18</v>
      </c>
      <c r="E41">
        <f>_xlfn.RANK.AVG(label_features!E41,label_features!E$2:E$102,1)</f>
        <v>33</v>
      </c>
      <c r="F41">
        <f>_xlfn.RANK.AVG(label_features!F41,label_features!F$2:F$102,1)</f>
        <v>5</v>
      </c>
      <c r="G41">
        <f>_xlfn.RANK.AVG(label_features!G41,label_features!G$2:G$102,1)</f>
        <v>20</v>
      </c>
      <c r="H41">
        <f>_xlfn.RANK.AVG(label_features!H41,label_features!H$2:H$102,1)</f>
        <v>69</v>
      </c>
    </row>
    <row r="42" spans="2:8" x14ac:dyDescent="0.25">
      <c r="B42">
        <f>_xlfn.RANK.AVG(label_features!B42,label_features!B$2:B$102,1)</f>
        <v>88</v>
      </c>
      <c r="C42">
        <f>_xlfn.RANK.AVG(label_features!C42,label_features!C$2:C$102,1)</f>
        <v>65</v>
      </c>
      <c r="D42">
        <f>_xlfn.RANK.AVG(label_features!D42,label_features!D$2:D$102,1)</f>
        <v>38</v>
      </c>
      <c r="E42">
        <f>_xlfn.RANK.AVG(label_features!E42,label_features!E$2:E$102,1)</f>
        <v>47</v>
      </c>
      <c r="F42">
        <f>_xlfn.RANK.AVG(label_features!F42,label_features!F$2:F$102,1)</f>
        <v>81</v>
      </c>
      <c r="G42">
        <f>_xlfn.RANK.AVG(label_features!G42,label_features!G$2:G$102,1)</f>
        <v>30</v>
      </c>
      <c r="H42">
        <f>_xlfn.RANK.AVG(label_features!H42,label_features!H$2:H$102,1)</f>
        <v>69</v>
      </c>
    </row>
    <row r="43" spans="2:8" x14ac:dyDescent="0.25">
      <c r="B43">
        <f>_xlfn.RANK.AVG(label_features!B43,label_features!B$2:B$102,1)</f>
        <v>21</v>
      </c>
      <c r="C43">
        <f>_xlfn.RANK.AVG(label_features!C43,label_features!C$2:C$102,1)</f>
        <v>45</v>
      </c>
      <c r="D43">
        <f>_xlfn.RANK.AVG(label_features!D43,label_features!D$2:D$102,1)</f>
        <v>21</v>
      </c>
      <c r="E43">
        <f>_xlfn.RANK.AVG(label_features!E43,label_features!E$2:E$102,1)</f>
        <v>48</v>
      </c>
      <c r="F43">
        <f>_xlfn.RANK.AVG(label_features!F43,label_features!F$2:F$102,1)</f>
        <v>29</v>
      </c>
      <c r="G43">
        <f>_xlfn.RANK.AVG(label_features!G43,label_features!G$2:G$102,1)</f>
        <v>77</v>
      </c>
      <c r="H43">
        <f>_xlfn.RANK.AVG(label_features!H43,label_features!H$2:H$102,1)</f>
        <v>69</v>
      </c>
    </row>
    <row r="44" spans="2:8" x14ac:dyDescent="0.25">
      <c r="B44">
        <f>_xlfn.RANK.AVG(label_features!B44,label_features!B$2:B$102,1)</f>
        <v>44</v>
      </c>
      <c r="C44">
        <f>_xlfn.RANK.AVG(label_features!C44,label_features!C$2:C$102,1)</f>
        <v>88</v>
      </c>
      <c r="D44">
        <f>_xlfn.RANK.AVG(label_features!D44,label_features!D$2:D$102,1)</f>
        <v>82</v>
      </c>
      <c r="E44">
        <f>_xlfn.RANK.AVG(label_features!E44,label_features!E$2:E$102,1)</f>
        <v>81</v>
      </c>
      <c r="F44">
        <f>_xlfn.RANK.AVG(label_features!F44,label_features!F$2:F$102,1)</f>
        <v>70</v>
      </c>
      <c r="G44">
        <f>_xlfn.RANK.AVG(label_features!G44,label_features!G$2:G$102,1)</f>
        <v>93</v>
      </c>
      <c r="H44">
        <f>_xlfn.RANK.AVG(label_features!H44,label_features!H$2:H$102,1)</f>
        <v>69</v>
      </c>
    </row>
    <row r="45" spans="2:8" x14ac:dyDescent="0.25">
      <c r="B45">
        <f>_xlfn.RANK.AVG(label_features!B45,label_features!B$2:B$102,1)</f>
        <v>74</v>
      </c>
      <c r="C45">
        <f>_xlfn.RANK.AVG(label_features!C45,label_features!C$2:C$102,1)</f>
        <v>12</v>
      </c>
      <c r="D45">
        <f>_xlfn.RANK.AVG(label_features!D45,label_features!D$2:D$102,1)</f>
        <v>79</v>
      </c>
      <c r="E45">
        <f>_xlfn.RANK.AVG(label_features!E45,label_features!E$2:E$102,1)</f>
        <v>53</v>
      </c>
      <c r="F45">
        <f>_xlfn.RANK.AVG(label_features!F45,label_features!F$2:F$102,1)</f>
        <v>83</v>
      </c>
      <c r="G45">
        <f>_xlfn.RANK.AVG(label_features!G45,label_features!G$2:G$102,1)</f>
        <v>62</v>
      </c>
      <c r="H45">
        <f>_xlfn.RANK.AVG(label_features!H45,label_features!H$2:H$102,1)</f>
        <v>18.5</v>
      </c>
    </row>
    <row r="46" spans="2:8" x14ac:dyDescent="0.25">
      <c r="B46">
        <f>_xlfn.RANK.AVG(label_features!B46,label_features!B$2:B$102,1)</f>
        <v>87</v>
      </c>
      <c r="C46">
        <f>_xlfn.RANK.AVG(label_features!C46,label_features!C$2:C$102,1)</f>
        <v>7</v>
      </c>
      <c r="D46">
        <f>_xlfn.RANK.AVG(label_features!D46,label_features!D$2:D$102,1)</f>
        <v>91</v>
      </c>
      <c r="E46">
        <f>_xlfn.RANK.AVG(label_features!E46,label_features!E$2:E$102,1)</f>
        <v>55</v>
      </c>
      <c r="F46">
        <f>_xlfn.RANK.AVG(label_features!F46,label_features!F$2:F$102,1)</f>
        <v>90</v>
      </c>
      <c r="G46">
        <f>_xlfn.RANK.AVG(label_features!G46,label_features!G$2:G$102,1)</f>
        <v>53</v>
      </c>
      <c r="H46">
        <f>_xlfn.RANK.AVG(label_features!H46,label_features!H$2:H$102,1)</f>
        <v>69</v>
      </c>
    </row>
    <row r="47" spans="2:8" x14ac:dyDescent="0.25">
      <c r="B47">
        <f>_xlfn.RANK.AVG(label_features!B47,label_features!B$2:B$102,1)</f>
        <v>25</v>
      </c>
      <c r="C47">
        <f>_xlfn.RANK.AVG(label_features!C47,label_features!C$2:C$102,1)</f>
        <v>41</v>
      </c>
      <c r="D47">
        <f>_xlfn.RANK.AVG(label_features!D47,label_features!D$2:D$102,1)</f>
        <v>35</v>
      </c>
      <c r="E47">
        <f>_xlfn.RANK.AVG(label_features!E47,label_features!E$2:E$102,1)</f>
        <v>10</v>
      </c>
      <c r="F47">
        <f>_xlfn.RANK.AVG(label_features!F47,label_features!F$2:F$102,1)</f>
        <v>19</v>
      </c>
      <c r="G47">
        <f>_xlfn.RANK.AVG(label_features!G47,label_features!G$2:G$102,1)</f>
        <v>33</v>
      </c>
      <c r="H47">
        <f>_xlfn.RANK.AVG(label_features!H47,label_features!H$2:H$102,1)</f>
        <v>69</v>
      </c>
    </row>
    <row r="48" spans="2:8" x14ac:dyDescent="0.25">
      <c r="B48">
        <f>_xlfn.RANK.AVG(label_features!B48,label_features!B$2:B$102,1)</f>
        <v>37</v>
      </c>
      <c r="C48">
        <f>_xlfn.RANK.AVG(label_features!C48,label_features!C$2:C$102,1)</f>
        <v>20</v>
      </c>
      <c r="D48">
        <f>_xlfn.RANK.AVG(label_features!D48,label_features!D$2:D$102,1)</f>
        <v>41</v>
      </c>
      <c r="E48">
        <f>_xlfn.RANK.AVG(label_features!E48,label_features!E$2:E$102,1)</f>
        <v>75</v>
      </c>
      <c r="F48">
        <f>_xlfn.RANK.AVG(label_features!F48,label_features!F$2:F$102,1)</f>
        <v>62</v>
      </c>
      <c r="G48">
        <f>_xlfn.RANK.AVG(label_features!G48,label_features!G$2:G$102,1)</f>
        <v>91</v>
      </c>
      <c r="H48">
        <f>_xlfn.RANK.AVG(label_features!H48,label_features!H$2:H$102,1)</f>
        <v>18.5</v>
      </c>
    </row>
    <row r="49" spans="2:8" x14ac:dyDescent="0.25">
      <c r="B49">
        <f>_xlfn.RANK.AVG(label_features!B49,label_features!B$2:B$102,1)</f>
        <v>2</v>
      </c>
      <c r="C49">
        <f>_xlfn.RANK.AVG(label_features!C49,label_features!C$2:C$102,1)</f>
        <v>100</v>
      </c>
      <c r="D49">
        <f>_xlfn.RANK.AVG(label_features!D49,label_features!D$2:D$102,1)</f>
        <v>98</v>
      </c>
      <c r="E49">
        <f>_xlfn.RANK.AVG(label_features!E49,label_features!E$2:E$102,1)</f>
        <v>51</v>
      </c>
      <c r="F49">
        <f>_xlfn.RANK.AVG(label_features!F49,label_features!F$2:F$102,1)</f>
        <v>2</v>
      </c>
      <c r="G49">
        <f>_xlfn.RANK.AVG(label_features!G49,label_features!G$2:G$102,1)</f>
        <v>98</v>
      </c>
      <c r="H49">
        <f>_xlfn.RANK.AVG(label_features!H49,label_features!H$2:H$102,1)</f>
        <v>69</v>
      </c>
    </row>
    <row r="50" spans="2:8" x14ac:dyDescent="0.25">
      <c r="B50">
        <f>_xlfn.RANK.AVG(label_features!B50,label_features!B$2:B$102,1)</f>
        <v>58</v>
      </c>
      <c r="C50">
        <f>_xlfn.RANK.AVG(label_features!C50,label_features!C$2:C$102,1)</f>
        <v>16</v>
      </c>
      <c r="D50">
        <f>_xlfn.RANK.AVG(label_features!D50,label_features!D$2:D$102,1)</f>
        <v>69</v>
      </c>
      <c r="E50">
        <f>_xlfn.RANK.AVG(label_features!E50,label_features!E$2:E$102,1)</f>
        <v>77</v>
      </c>
      <c r="F50">
        <f>_xlfn.RANK.AVG(label_features!F50,label_features!F$2:F$102,1)</f>
        <v>60</v>
      </c>
      <c r="G50">
        <f>_xlfn.RANK.AVG(label_features!G50,label_features!G$2:G$102,1)</f>
        <v>55</v>
      </c>
      <c r="H50">
        <f>_xlfn.RANK.AVG(label_features!H50,label_features!H$2:H$102,1)</f>
        <v>69</v>
      </c>
    </row>
    <row r="51" spans="2:8" x14ac:dyDescent="0.25">
      <c r="B51">
        <f>_xlfn.RANK.AVG(label_features!B51,label_features!B$2:B$102,1)</f>
        <v>92</v>
      </c>
      <c r="C51">
        <f>_xlfn.RANK.AVG(label_features!C51,label_features!C$2:C$102,1)</f>
        <v>1</v>
      </c>
      <c r="D51">
        <f>_xlfn.RANK.AVG(label_features!D51,label_features!D$2:D$102,1)</f>
        <v>1</v>
      </c>
      <c r="E51">
        <f>_xlfn.RANK.AVG(label_features!E51,label_features!E$2:E$102,1)</f>
        <v>8</v>
      </c>
      <c r="F51">
        <f>_xlfn.RANK.AVG(label_features!F51,label_features!F$2:F$102,1)</f>
        <v>72</v>
      </c>
      <c r="G51">
        <f>_xlfn.RANK.AVG(label_features!G51,label_features!G$2:G$102,1)</f>
        <v>3</v>
      </c>
      <c r="H51">
        <f>_xlfn.RANK.AVG(label_features!H51,label_features!H$2:H$102,1)</f>
        <v>69</v>
      </c>
    </row>
    <row r="52" spans="2:8" x14ac:dyDescent="0.25">
      <c r="B52">
        <f>_xlfn.RANK.AVG(label_features!B52,label_features!B$2:B$102,1)</f>
        <v>8</v>
      </c>
      <c r="C52">
        <f>_xlfn.RANK.AVG(label_features!C52,label_features!C$2:C$102,1)</f>
        <v>96</v>
      </c>
      <c r="D52">
        <f>_xlfn.RANK.AVG(label_features!D52,label_features!D$2:D$102,1)</f>
        <v>80</v>
      </c>
      <c r="E52">
        <f>_xlfn.RANK.AVG(label_features!E52,label_features!E$2:E$102,1)</f>
        <v>89</v>
      </c>
      <c r="F52">
        <f>_xlfn.RANK.AVG(label_features!F52,label_features!F$2:F$102,1)</f>
        <v>6</v>
      </c>
      <c r="G52">
        <f>_xlfn.RANK.AVG(label_features!G52,label_features!G$2:G$102,1)</f>
        <v>39</v>
      </c>
      <c r="H52">
        <f>_xlfn.RANK.AVG(label_features!H52,label_features!H$2:H$102,1)</f>
        <v>69</v>
      </c>
    </row>
    <row r="53" spans="2:8" x14ac:dyDescent="0.25">
      <c r="B53">
        <f>_xlfn.RANK.AVG(label_features!B53,label_features!B$2:B$102,1)</f>
        <v>18</v>
      </c>
      <c r="C53">
        <f>_xlfn.RANK.AVG(label_features!C53,label_features!C$2:C$102,1)</f>
        <v>78</v>
      </c>
      <c r="D53">
        <f>_xlfn.RANK.AVG(label_features!D53,label_features!D$2:D$102,1)</f>
        <v>73</v>
      </c>
      <c r="E53">
        <f>_xlfn.RANK.AVG(label_features!E53,label_features!E$2:E$102,1)</f>
        <v>72</v>
      </c>
      <c r="F53">
        <f>_xlfn.RANK.AVG(label_features!F53,label_features!F$2:F$102,1)</f>
        <v>30</v>
      </c>
      <c r="G53">
        <f>_xlfn.RANK.AVG(label_features!G53,label_features!G$2:G$102,1)</f>
        <v>88</v>
      </c>
      <c r="H53">
        <f>_xlfn.RANK.AVG(label_features!H53,label_features!H$2:H$102,1)</f>
        <v>18.5</v>
      </c>
    </row>
    <row r="54" spans="2:8" x14ac:dyDescent="0.25">
      <c r="B54">
        <f>_xlfn.RANK.AVG(label_features!B54,label_features!B$2:B$102,1)</f>
        <v>79</v>
      </c>
      <c r="C54">
        <f>_xlfn.RANK.AVG(label_features!C54,label_features!C$2:C$102,1)</f>
        <v>40</v>
      </c>
      <c r="D54">
        <f>_xlfn.RANK.AVG(label_features!D54,label_features!D$2:D$102,1)</f>
        <v>83</v>
      </c>
      <c r="E54">
        <f>_xlfn.RANK.AVG(label_features!E54,label_features!E$2:E$102,1)</f>
        <v>90</v>
      </c>
      <c r="F54">
        <f>_xlfn.RANK.AVG(label_features!F54,label_features!F$2:F$102,1)</f>
        <v>87</v>
      </c>
      <c r="G54">
        <f>_xlfn.RANK.AVG(label_features!G54,label_features!G$2:G$102,1)</f>
        <v>72</v>
      </c>
      <c r="H54">
        <f>_xlfn.RANK.AVG(label_features!H54,label_features!H$2:H$102,1)</f>
        <v>18.5</v>
      </c>
    </row>
    <row r="55" spans="2:8" x14ac:dyDescent="0.25">
      <c r="B55">
        <f>_xlfn.RANK.AVG(label_features!B55,label_features!B$2:B$102,1)</f>
        <v>7</v>
      </c>
      <c r="C55">
        <f>_xlfn.RANK.AVG(label_features!C55,label_features!C$2:C$102,1)</f>
        <v>95</v>
      </c>
      <c r="D55">
        <f>_xlfn.RANK.AVG(label_features!D55,label_features!D$2:D$102,1)</f>
        <v>61</v>
      </c>
      <c r="E55">
        <f>_xlfn.RANK.AVG(label_features!E55,label_features!E$2:E$102,1)</f>
        <v>86</v>
      </c>
      <c r="F55">
        <f>_xlfn.RANK.AVG(label_features!F55,label_features!F$2:F$102,1)</f>
        <v>15</v>
      </c>
      <c r="G55">
        <f>_xlfn.RANK.AVG(label_features!G55,label_features!G$2:G$102,1)</f>
        <v>92</v>
      </c>
      <c r="H55">
        <f>_xlfn.RANK.AVG(label_features!H55,label_features!H$2:H$102,1)</f>
        <v>69</v>
      </c>
    </row>
    <row r="56" spans="2:8" x14ac:dyDescent="0.25">
      <c r="B56">
        <f>_xlfn.RANK.AVG(label_features!B56,label_features!B$2:B$102,1)</f>
        <v>54</v>
      </c>
      <c r="C56">
        <f>_xlfn.RANK.AVG(label_features!C56,label_features!C$2:C$102,1)</f>
        <v>71</v>
      </c>
      <c r="D56">
        <f>_xlfn.RANK.AVG(label_features!D56,label_features!D$2:D$102,1)</f>
        <v>23</v>
      </c>
      <c r="E56">
        <f>_xlfn.RANK.AVG(label_features!E56,label_features!E$2:E$102,1)</f>
        <v>31</v>
      </c>
      <c r="F56">
        <f>_xlfn.RANK.AVG(label_features!F56,label_features!F$2:F$102,1)</f>
        <v>39</v>
      </c>
      <c r="G56">
        <f>_xlfn.RANK.AVG(label_features!G56,label_features!G$2:G$102,1)</f>
        <v>22</v>
      </c>
      <c r="H56">
        <f>_xlfn.RANK.AVG(label_features!H56,label_features!H$2:H$102,1)</f>
        <v>69</v>
      </c>
    </row>
    <row r="57" spans="2:8" x14ac:dyDescent="0.25">
      <c r="B57">
        <f>_xlfn.RANK.AVG(label_features!B57,label_features!B$2:B$102,1)</f>
        <v>71</v>
      </c>
      <c r="C57">
        <f>_xlfn.RANK.AVG(label_features!C57,label_features!C$2:C$102,1)</f>
        <v>50</v>
      </c>
      <c r="D57">
        <f>_xlfn.RANK.AVG(label_features!D57,label_features!D$2:D$102,1)</f>
        <v>34</v>
      </c>
      <c r="E57">
        <f>_xlfn.RANK.AVG(label_features!E57,label_features!E$2:E$102,1)</f>
        <v>23</v>
      </c>
      <c r="F57">
        <f>_xlfn.RANK.AVG(label_features!F57,label_features!F$2:F$102,1)</f>
        <v>58</v>
      </c>
      <c r="G57">
        <f>_xlfn.RANK.AVG(label_features!G57,label_features!G$2:G$102,1)</f>
        <v>15</v>
      </c>
      <c r="H57">
        <f>_xlfn.RANK.AVG(label_features!H57,label_features!H$2:H$102,1)</f>
        <v>18.5</v>
      </c>
    </row>
    <row r="58" spans="2:8" x14ac:dyDescent="0.25">
      <c r="B58">
        <f>_xlfn.RANK.AVG(label_features!B58,label_features!B$2:B$102,1)</f>
        <v>36</v>
      </c>
      <c r="C58">
        <f>_xlfn.RANK.AVG(label_features!C58,label_features!C$2:C$102,1)</f>
        <v>67</v>
      </c>
      <c r="D58">
        <f>_xlfn.RANK.AVG(label_features!D58,label_features!D$2:D$102,1)</f>
        <v>8</v>
      </c>
      <c r="E58">
        <f>_xlfn.RANK.AVG(label_features!E58,label_features!E$2:E$102,1)</f>
        <v>27</v>
      </c>
      <c r="F58">
        <f>_xlfn.RANK.AVG(label_features!F58,label_features!F$2:F$102,1)</f>
        <v>22</v>
      </c>
      <c r="G58">
        <f>_xlfn.RANK.AVG(label_features!G58,label_features!G$2:G$102,1)</f>
        <v>13</v>
      </c>
      <c r="H58">
        <f>_xlfn.RANK.AVG(label_features!H58,label_features!H$2:H$102,1)</f>
        <v>18.5</v>
      </c>
    </row>
    <row r="59" spans="2:8" x14ac:dyDescent="0.25">
      <c r="B59">
        <f>_xlfn.RANK.AVG(label_features!B59,label_features!B$2:B$102,1)</f>
        <v>53</v>
      </c>
      <c r="C59">
        <f>_xlfn.RANK.AVG(label_features!C59,label_features!C$2:C$102,1)</f>
        <v>70</v>
      </c>
      <c r="D59">
        <f>_xlfn.RANK.AVG(label_features!D59,label_features!D$2:D$102,1)</f>
        <v>28</v>
      </c>
      <c r="E59">
        <f>_xlfn.RANK.AVG(label_features!E59,label_features!E$2:E$102,1)</f>
        <v>35</v>
      </c>
      <c r="F59">
        <f>_xlfn.RANK.AVG(label_features!F59,label_features!F$2:F$102,1)</f>
        <v>71</v>
      </c>
      <c r="G59">
        <f>_xlfn.RANK.AVG(label_features!G59,label_features!G$2:G$102,1)</f>
        <v>87</v>
      </c>
      <c r="H59">
        <f>_xlfn.RANK.AVG(label_features!H59,label_features!H$2:H$102,1)</f>
        <v>18.5</v>
      </c>
    </row>
    <row r="60" spans="2:8" x14ac:dyDescent="0.25">
      <c r="B60">
        <f>_xlfn.RANK.AVG(label_features!B60,label_features!B$2:B$102,1)</f>
        <v>20</v>
      </c>
      <c r="C60">
        <f>_xlfn.RANK.AVG(label_features!C60,label_features!C$2:C$102,1)</f>
        <v>63</v>
      </c>
      <c r="D60">
        <f>_xlfn.RANK.AVG(label_features!D60,label_features!D$2:D$102,1)</f>
        <v>53</v>
      </c>
      <c r="E60">
        <f>_xlfn.RANK.AVG(label_features!E60,label_features!E$2:E$102,1)</f>
        <v>50</v>
      </c>
      <c r="F60">
        <f>_xlfn.RANK.AVG(label_features!F60,label_features!F$2:F$102,1)</f>
        <v>17</v>
      </c>
      <c r="G60">
        <f>_xlfn.RANK.AVG(label_features!G60,label_features!G$2:G$102,1)</f>
        <v>52</v>
      </c>
      <c r="H60">
        <f>_xlfn.RANK.AVG(label_features!H60,label_features!H$2:H$102,1)</f>
        <v>69</v>
      </c>
    </row>
    <row r="61" spans="2:8" x14ac:dyDescent="0.25">
      <c r="B61">
        <f>_xlfn.RANK.AVG(label_features!B61,label_features!B$2:B$102,1)</f>
        <v>34</v>
      </c>
      <c r="C61">
        <f>_xlfn.RANK.AVG(label_features!C61,label_features!C$2:C$102,1)</f>
        <v>62</v>
      </c>
      <c r="D61">
        <f>_xlfn.RANK.AVG(label_features!D61,label_features!D$2:D$102,1)</f>
        <v>25</v>
      </c>
      <c r="E61">
        <f>_xlfn.RANK.AVG(label_features!E61,label_features!E$2:E$102,1)</f>
        <v>28</v>
      </c>
      <c r="F61">
        <f>_xlfn.RANK.AVG(label_features!F61,label_features!F$2:F$102,1)</f>
        <v>28</v>
      </c>
      <c r="G61">
        <f>_xlfn.RANK.AVG(label_features!G61,label_features!G$2:G$102,1)</f>
        <v>31</v>
      </c>
      <c r="H61">
        <f>_xlfn.RANK.AVG(label_features!H61,label_features!H$2:H$102,1)</f>
        <v>69</v>
      </c>
    </row>
    <row r="62" spans="2:8" x14ac:dyDescent="0.25">
      <c r="B62">
        <f>_xlfn.RANK.AVG(label_features!B62,label_features!B$2:B$102,1)</f>
        <v>35</v>
      </c>
      <c r="C62">
        <f>_xlfn.RANK.AVG(label_features!C62,label_features!C$2:C$102,1)</f>
        <v>54</v>
      </c>
      <c r="D62">
        <f>_xlfn.RANK.AVG(label_features!D62,label_features!D$2:D$102,1)</f>
        <v>52</v>
      </c>
      <c r="E62">
        <f>_xlfn.RANK.AVG(label_features!E62,label_features!E$2:E$102,1)</f>
        <v>68</v>
      </c>
      <c r="F62">
        <f>_xlfn.RANK.AVG(label_features!F62,label_features!F$2:F$102,1)</f>
        <v>52</v>
      </c>
      <c r="G62">
        <f>_xlfn.RANK.AVG(label_features!G62,label_features!G$2:G$102,1)</f>
        <v>81</v>
      </c>
      <c r="H62">
        <f>_xlfn.RANK.AVG(label_features!H62,label_features!H$2:H$102,1)</f>
        <v>69</v>
      </c>
    </row>
    <row r="63" spans="2:8" x14ac:dyDescent="0.25">
      <c r="B63">
        <f>_xlfn.RANK.AVG(label_features!B63,label_features!B$2:B$102,1)</f>
        <v>86</v>
      </c>
      <c r="C63">
        <f>_xlfn.RANK.AVG(label_features!C63,label_features!C$2:C$102,1)</f>
        <v>11</v>
      </c>
      <c r="D63">
        <f>_xlfn.RANK.AVG(label_features!D63,label_features!D$2:D$102,1)</f>
        <v>57</v>
      </c>
      <c r="E63">
        <f>_xlfn.RANK.AVG(label_features!E63,label_features!E$2:E$102,1)</f>
        <v>80</v>
      </c>
      <c r="F63">
        <f>_xlfn.RANK.AVG(label_features!F63,label_features!F$2:F$102,1)</f>
        <v>80</v>
      </c>
      <c r="G63">
        <f>_xlfn.RANK.AVG(label_features!G63,label_features!G$2:G$102,1)</f>
        <v>32</v>
      </c>
      <c r="H63">
        <f>_xlfn.RANK.AVG(label_features!H63,label_features!H$2:H$102,1)</f>
        <v>69</v>
      </c>
    </row>
    <row r="64" spans="2:8" x14ac:dyDescent="0.25">
      <c r="B64">
        <f>_xlfn.RANK.AVG(label_features!B64,label_features!B$2:B$102,1)</f>
        <v>73</v>
      </c>
      <c r="C64">
        <f>_xlfn.RANK.AVG(label_features!C64,label_features!C$2:C$102,1)</f>
        <v>22</v>
      </c>
      <c r="D64">
        <f>_xlfn.RANK.AVG(label_features!D64,label_features!D$2:D$102,1)</f>
        <v>37</v>
      </c>
      <c r="E64">
        <f>_xlfn.RANK.AVG(label_features!E64,label_features!E$2:E$102,1)</f>
        <v>32</v>
      </c>
      <c r="F64">
        <f>_xlfn.RANK.AVG(label_features!F64,label_features!F$2:F$102,1)</f>
        <v>68</v>
      </c>
      <c r="G64">
        <f>_xlfn.RANK.AVG(label_features!G64,label_features!G$2:G$102,1)</f>
        <v>28</v>
      </c>
      <c r="H64">
        <f>_xlfn.RANK.AVG(label_features!H64,label_features!H$2:H$102,1)</f>
        <v>69</v>
      </c>
    </row>
    <row r="65" spans="2:8" x14ac:dyDescent="0.25">
      <c r="B65">
        <f>_xlfn.RANK.AVG(label_features!B65,label_features!B$2:B$102,1)</f>
        <v>50</v>
      </c>
      <c r="C65">
        <f>_xlfn.RANK.AVG(label_features!C65,label_features!C$2:C$102,1)</f>
        <v>52</v>
      </c>
      <c r="D65">
        <f>_xlfn.RANK.AVG(label_features!D65,label_features!D$2:D$102,1)</f>
        <v>39</v>
      </c>
      <c r="E65">
        <f>_xlfn.RANK.AVG(label_features!E65,label_features!E$2:E$102,1)</f>
        <v>15</v>
      </c>
      <c r="F65">
        <f>_xlfn.RANK.AVG(label_features!F65,label_features!F$2:F$102,1)</f>
        <v>31</v>
      </c>
      <c r="G65">
        <f>_xlfn.RANK.AVG(label_features!G65,label_features!G$2:G$102,1)</f>
        <v>11</v>
      </c>
      <c r="H65">
        <f>_xlfn.RANK.AVG(label_features!H65,label_features!H$2:H$102,1)</f>
        <v>69</v>
      </c>
    </row>
    <row r="66" spans="2:8" x14ac:dyDescent="0.25">
      <c r="B66">
        <f>_xlfn.RANK.AVG(label_features!B66,label_features!B$2:B$102,1)</f>
        <v>99</v>
      </c>
      <c r="C66">
        <f>_xlfn.RANK.AVG(label_features!C66,label_features!C$2:C$102,1)</f>
        <v>4</v>
      </c>
      <c r="D66">
        <f>_xlfn.RANK.AVG(label_features!D66,label_features!D$2:D$102,1)</f>
        <v>10</v>
      </c>
      <c r="E66">
        <f>_xlfn.RANK.AVG(label_features!E66,label_features!E$2:E$102,1)</f>
        <v>18</v>
      </c>
      <c r="F66">
        <f>_xlfn.RANK.AVG(label_features!F66,label_features!F$2:F$102,1)</f>
        <v>100</v>
      </c>
      <c r="G66">
        <f>_xlfn.RANK.AVG(label_features!G66,label_features!G$2:G$102,1)</f>
        <v>100</v>
      </c>
      <c r="H66">
        <f>_xlfn.RANK.AVG(label_features!H66,label_features!H$2:H$102,1)</f>
        <v>69</v>
      </c>
    </row>
    <row r="67" spans="2:8" x14ac:dyDescent="0.25">
      <c r="B67">
        <f>_xlfn.RANK.AVG(label_features!B67,label_features!B$2:B$102,1)</f>
        <v>56</v>
      </c>
      <c r="C67">
        <f>_xlfn.RANK.AVG(label_features!C67,label_features!C$2:C$102,1)</f>
        <v>21</v>
      </c>
      <c r="D67">
        <f>_xlfn.RANK.AVG(label_features!D67,label_features!D$2:D$102,1)</f>
        <v>65</v>
      </c>
      <c r="E67">
        <f>_xlfn.RANK.AVG(label_features!E67,label_features!E$2:E$102,1)</f>
        <v>76</v>
      </c>
      <c r="F67">
        <f>_xlfn.RANK.AVG(label_features!F67,label_features!F$2:F$102,1)</f>
        <v>51</v>
      </c>
      <c r="G67">
        <f>_xlfn.RANK.AVG(label_features!G67,label_features!G$2:G$102,1)</f>
        <v>45</v>
      </c>
      <c r="H67">
        <f>_xlfn.RANK.AVG(label_features!H67,label_features!H$2:H$102,1)</f>
        <v>69</v>
      </c>
    </row>
    <row r="68" spans="2:8" x14ac:dyDescent="0.25">
      <c r="B68">
        <f>_xlfn.RANK.AVG(label_features!B68,label_features!B$2:B$102,1)</f>
        <v>14</v>
      </c>
      <c r="C68">
        <f>_xlfn.RANK.AVG(label_features!C68,label_features!C$2:C$102,1)</f>
        <v>98</v>
      </c>
      <c r="D68">
        <f>_xlfn.RANK.AVG(label_features!D68,label_features!D$2:D$102,1)</f>
        <v>56</v>
      </c>
      <c r="E68">
        <f>_xlfn.RANK.AVG(label_features!E68,label_features!E$2:E$102,1)</f>
        <v>91</v>
      </c>
      <c r="F68">
        <f>_xlfn.RANK.AVG(label_features!F68,label_features!F$2:F$102,1)</f>
        <v>32</v>
      </c>
      <c r="G68">
        <f>_xlfn.RANK.AVG(label_features!G68,label_features!G$2:G$102,1)</f>
        <v>95</v>
      </c>
      <c r="H68">
        <f>_xlfn.RANK.AVG(label_features!H68,label_features!H$2:H$102,1)</f>
        <v>69</v>
      </c>
    </row>
    <row r="69" spans="2:8" x14ac:dyDescent="0.25">
      <c r="B69">
        <f>_xlfn.RANK.AVG(label_features!B69,label_features!B$2:B$102,1)</f>
        <v>19</v>
      </c>
      <c r="C69">
        <f>_xlfn.RANK.AVG(label_features!C69,label_features!C$2:C$102,1)</f>
        <v>76</v>
      </c>
      <c r="D69">
        <f>_xlfn.RANK.AVG(label_features!D69,label_features!D$2:D$102,1)</f>
        <v>24</v>
      </c>
      <c r="E69">
        <f>_xlfn.RANK.AVG(label_features!E69,label_features!E$2:E$102,1)</f>
        <v>17</v>
      </c>
      <c r="F69">
        <f>_xlfn.RANK.AVG(label_features!F69,label_features!F$2:F$102,1)</f>
        <v>13</v>
      </c>
      <c r="G69">
        <f>_xlfn.RANK.AVG(label_features!G69,label_features!G$2:G$102,1)</f>
        <v>46</v>
      </c>
      <c r="H69">
        <f>_xlfn.RANK.AVG(label_features!H69,label_features!H$2:H$102,1)</f>
        <v>69</v>
      </c>
    </row>
    <row r="70" spans="2:8" x14ac:dyDescent="0.25">
      <c r="B70">
        <f>_xlfn.RANK.AVG(label_features!B70,label_features!B$2:B$102,1)</f>
        <v>3</v>
      </c>
      <c r="C70">
        <f>_xlfn.RANK.AVG(label_features!C70,label_features!C$2:C$102,1)</f>
        <v>87</v>
      </c>
      <c r="D70">
        <f>_xlfn.RANK.AVG(label_features!D70,label_features!D$2:D$102,1)</f>
        <v>3</v>
      </c>
      <c r="E70">
        <f>_xlfn.RANK.AVG(label_features!E70,label_features!E$2:E$102,1)</f>
        <v>2</v>
      </c>
      <c r="F70">
        <f>_xlfn.RANK.AVG(label_features!F70,label_features!F$2:F$102,1)</f>
        <v>4</v>
      </c>
      <c r="G70">
        <f>_xlfn.RANK.AVG(label_features!G70,label_features!G$2:G$102,1)</f>
        <v>51</v>
      </c>
      <c r="H70">
        <f>_xlfn.RANK.AVG(label_features!H70,label_features!H$2:H$102,1)</f>
        <v>69</v>
      </c>
    </row>
    <row r="71" spans="2:8" x14ac:dyDescent="0.25">
      <c r="B71">
        <f>_xlfn.RANK.AVG(label_features!B71,label_features!B$2:B$102,1)</f>
        <v>81</v>
      </c>
      <c r="C71">
        <f>_xlfn.RANK.AVG(label_features!C71,label_features!C$2:C$102,1)</f>
        <v>36</v>
      </c>
      <c r="D71">
        <f>_xlfn.RANK.AVG(label_features!D71,label_features!D$2:D$102,1)</f>
        <v>87</v>
      </c>
      <c r="E71">
        <f>_xlfn.RANK.AVG(label_features!E71,label_features!E$2:E$102,1)</f>
        <v>66</v>
      </c>
      <c r="F71">
        <f>_xlfn.RANK.AVG(label_features!F71,label_features!F$2:F$102,1)</f>
        <v>78</v>
      </c>
      <c r="G71">
        <f>_xlfn.RANK.AVG(label_features!G71,label_features!G$2:G$102,1)</f>
        <v>43</v>
      </c>
      <c r="H71">
        <f>_xlfn.RANK.AVG(label_features!H71,label_features!H$2:H$102,1)</f>
        <v>69</v>
      </c>
    </row>
    <row r="72" spans="2:8" x14ac:dyDescent="0.25">
      <c r="B72">
        <f>_xlfn.RANK.AVG(label_features!B72,label_features!B$2:B$102,1)</f>
        <v>39</v>
      </c>
      <c r="C72">
        <f>_xlfn.RANK.AVG(label_features!C72,label_features!C$2:C$102,1)</f>
        <v>83</v>
      </c>
      <c r="D72">
        <f>_xlfn.RANK.AVG(label_features!D72,label_features!D$2:D$102,1)</f>
        <v>32</v>
      </c>
      <c r="E72">
        <f>_xlfn.RANK.AVG(label_features!E72,label_features!E$2:E$102,1)</f>
        <v>4</v>
      </c>
      <c r="F72">
        <f>_xlfn.RANK.AVG(label_features!F72,label_features!F$2:F$102,1)</f>
        <v>36</v>
      </c>
      <c r="G72">
        <f>_xlfn.RANK.AVG(label_features!G72,label_features!G$2:G$102,1)</f>
        <v>35</v>
      </c>
      <c r="H72">
        <f>_xlfn.RANK.AVG(label_features!H72,label_features!H$2:H$102,1)</f>
        <v>69</v>
      </c>
    </row>
    <row r="73" spans="2:8" x14ac:dyDescent="0.25">
      <c r="B73">
        <f>_xlfn.RANK.AVG(label_features!B73,label_features!B$2:B$102,1)</f>
        <v>28</v>
      </c>
      <c r="C73">
        <f>_xlfn.RANK.AVG(label_features!C73,label_features!C$2:C$102,1)</f>
        <v>46</v>
      </c>
      <c r="D73">
        <f>_xlfn.RANK.AVG(label_features!D73,label_features!D$2:D$102,1)</f>
        <v>62</v>
      </c>
      <c r="E73">
        <f>_xlfn.RANK.AVG(label_features!E73,label_features!E$2:E$102,1)</f>
        <v>97</v>
      </c>
      <c r="F73">
        <f>_xlfn.RANK.AVG(label_features!F73,label_features!F$2:F$102,1)</f>
        <v>33</v>
      </c>
      <c r="G73">
        <f>_xlfn.RANK.AVG(label_features!G73,label_features!G$2:G$102,1)</f>
        <v>61</v>
      </c>
      <c r="H73">
        <f>_xlfn.RANK.AVG(label_features!H73,label_features!H$2:H$102,1)</f>
        <v>69</v>
      </c>
    </row>
    <row r="74" spans="2:8" x14ac:dyDescent="0.25">
      <c r="B74">
        <f>_xlfn.RANK.AVG(label_features!B74,label_features!B$2:B$102,1)</f>
        <v>16</v>
      </c>
      <c r="C74">
        <f>_xlfn.RANK.AVG(label_features!C74,label_features!C$2:C$102,1)</f>
        <v>25</v>
      </c>
      <c r="D74">
        <f>_xlfn.RANK.AVG(label_features!D74,label_features!D$2:D$102,1)</f>
        <v>42</v>
      </c>
      <c r="E74">
        <f>_xlfn.RANK.AVG(label_features!E74,label_features!E$2:E$102,1)</f>
        <v>52</v>
      </c>
      <c r="F74">
        <f>_xlfn.RANK.AVG(label_features!F74,label_features!F$2:F$102,1)</f>
        <v>27</v>
      </c>
      <c r="G74">
        <f>_xlfn.RANK.AVG(label_features!G74,label_features!G$2:G$102,1)</f>
        <v>89</v>
      </c>
      <c r="H74">
        <f>_xlfn.RANK.AVG(label_features!H74,label_features!H$2:H$102,1)</f>
        <v>69</v>
      </c>
    </row>
    <row r="75" spans="2:8" x14ac:dyDescent="0.25">
      <c r="B75">
        <f>_xlfn.RANK.AVG(label_features!B75,label_features!B$2:B$102,1)</f>
        <v>72</v>
      </c>
      <c r="C75">
        <f>_xlfn.RANK.AVG(label_features!C75,label_features!C$2:C$102,1)</f>
        <v>6</v>
      </c>
      <c r="D75">
        <f>_xlfn.RANK.AVG(label_features!D75,label_features!D$2:D$102,1)</f>
        <v>86</v>
      </c>
      <c r="E75">
        <f>_xlfn.RANK.AVG(label_features!E75,label_features!E$2:E$102,1)</f>
        <v>56</v>
      </c>
      <c r="F75">
        <f>_xlfn.RANK.AVG(label_features!F75,label_features!F$2:F$102,1)</f>
        <v>67</v>
      </c>
      <c r="G75">
        <f>_xlfn.RANK.AVG(label_features!G75,label_features!G$2:G$102,1)</f>
        <v>25</v>
      </c>
      <c r="H75">
        <f>_xlfn.RANK.AVG(label_features!H75,label_features!H$2:H$102,1)</f>
        <v>18.5</v>
      </c>
    </row>
    <row r="76" spans="2:8" x14ac:dyDescent="0.25">
      <c r="B76">
        <f>_xlfn.RANK.AVG(label_features!B76,label_features!B$2:B$102,1)</f>
        <v>68</v>
      </c>
      <c r="C76">
        <f>_xlfn.RANK.AVG(label_features!C76,label_features!C$2:C$102,1)</f>
        <v>18</v>
      </c>
      <c r="D76">
        <f>_xlfn.RANK.AVG(label_features!D76,label_features!D$2:D$102,1)</f>
        <v>66</v>
      </c>
      <c r="E76">
        <f>_xlfn.RANK.AVG(label_features!E76,label_features!E$2:E$102,1)</f>
        <v>57</v>
      </c>
      <c r="F76">
        <f>_xlfn.RANK.AVG(label_features!F76,label_features!F$2:F$102,1)</f>
        <v>88</v>
      </c>
      <c r="G76">
        <f>_xlfn.RANK.AVG(label_features!G76,label_features!G$2:G$102,1)</f>
        <v>79</v>
      </c>
      <c r="H76">
        <f>_xlfn.RANK.AVG(label_features!H76,label_features!H$2:H$102,1)</f>
        <v>18.5</v>
      </c>
    </row>
    <row r="77" spans="2:8" x14ac:dyDescent="0.25">
      <c r="B77">
        <f>_xlfn.RANK.AVG(label_features!B77,label_features!B$2:B$102,1)</f>
        <v>59</v>
      </c>
      <c r="C77">
        <f>_xlfn.RANK.AVG(label_features!C77,label_features!C$2:C$102,1)</f>
        <v>39</v>
      </c>
      <c r="D77">
        <f>_xlfn.RANK.AVG(label_features!D77,label_features!D$2:D$102,1)</f>
        <v>88</v>
      </c>
      <c r="E77">
        <f>_xlfn.RANK.AVG(label_features!E77,label_features!E$2:E$102,1)</f>
        <v>79</v>
      </c>
      <c r="F77">
        <f>_xlfn.RANK.AVG(label_features!F77,label_features!F$2:F$102,1)</f>
        <v>69</v>
      </c>
      <c r="G77">
        <f>_xlfn.RANK.AVG(label_features!G77,label_features!G$2:G$102,1)</f>
        <v>73</v>
      </c>
      <c r="H77">
        <f>_xlfn.RANK.AVG(label_features!H77,label_features!H$2:H$102,1)</f>
        <v>69</v>
      </c>
    </row>
    <row r="78" spans="2:8" x14ac:dyDescent="0.25">
      <c r="B78">
        <f>_xlfn.RANK.AVG(label_features!B78,label_features!B$2:B$102,1)</f>
        <v>78</v>
      </c>
      <c r="C78">
        <f>_xlfn.RANK.AVG(label_features!C78,label_features!C$2:C$102,1)</f>
        <v>17</v>
      </c>
      <c r="D78">
        <f>_xlfn.RANK.AVG(label_features!D78,label_features!D$2:D$102,1)</f>
        <v>68</v>
      </c>
      <c r="E78">
        <f>_xlfn.RANK.AVG(label_features!E78,label_features!E$2:E$102,1)</f>
        <v>70</v>
      </c>
      <c r="F78">
        <f>_xlfn.RANK.AVG(label_features!F78,label_features!F$2:F$102,1)</f>
        <v>85</v>
      </c>
      <c r="G78">
        <f>_xlfn.RANK.AVG(label_features!G78,label_features!G$2:G$102,1)</f>
        <v>65</v>
      </c>
      <c r="H78">
        <f>_xlfn.RANK.AVG(label_features!H78,label_features!H$2:H$102,1)</f>
        <v>69</v>
      </c>
    </row>
    <row r="79" spans="2:8" x14ac:dyDescent="0.25">
      <c r="B79">
        <f>_xlfn.RANK.AVG(label_features!B79,label_features!B$2:B$102,1)</f>
        <v>84</v>
      </c>
      <c r="C79">
        <f>_xlfn.RANK.AVG(label_features!C79,label_features!C$2:C$102,1)</f>
        <v>61</v>
      </c>
      <c r="D79">
        <f>_xlfn.RANK.AVG(label_features!D79,label_features!D$2:D$102,1)</f>
        <v>49</v>
      </c>
      <c r="E79">
        <f>_xlfn.RANK.AVG(label_features!E79,label_features!E$2:E$102,1)</f>
        <v>29</v>
      </c>
      <c r="F79">
        <f>_xlfn.RANK.AVG(label_features!F79,label_features!F$2:F$102,1)</f>
        <v>95</v>
      </c>
      <c r="G79">
        <f>_xlfn.RANK.AVG(label_features!G79,label_features!G$2:G$102,1)</f>
        <v>80</v>
      </c>
      <c r="H79">
        <f>_xlfn.RANK.AVG(label_features!H79,label_features!H$2:H$102,1)</f>
        <v>18.5</v>
      </c>
    </row>
    <row r="80" spans="2:8" x14ac:dyDescent="0.25">
      <c r="B80">
        <f>_xlfn.RANK.AVG(label_features!B80,label_features!B$2:B$102,1)</f>
        <v>83</v>
      </c>
      <c r="C80">
        <f>_xlfn.RANK.AVG(label_features!C80,label_features!C$2:C$102,1)</f>
        <v>30</v>
      </c>
      <c r="D80">
        <f>_xlfn.RANK.AVG(label_features!D80,label_features!D$2:D$102,1)</f>
        <v>96</v>
      </c>
      <c r="E80">
        <f>_xlfn.RANK.AVG(label_features!E80,label_features!E$2:E$102,1)</f>
        <v>93</v>
      </c>
      <c r="F80">
        <f>_xlfn.RANK.AVG(label_features!F80,label_features!F$2:F$102,1)</f>
        <v>74</v>
      </c>
      <c r="G80">
        <f>_xlfn.RANK.AVG(label_features!G80,label_features!G$2:G$102,1)</f>
        <v>23</v>
      </c>
      <c r="H80">
        <f>_xlfn.RANK.AVG(label_features!H80,label_features!H$2:H$102,1)</f>
        <v>69</v>
      </c>
    </row>
    <row r="81" spans="2:8" x14ac:dyDescent="0.25">
      <c r="B81">
        <f>_xlfn.RANK.AVG(label_features!B81,label_features!B$2:B$102,1)</f>
        <v>52</v>
      </c>
      <c r="C81">
        <f>_xlfn.RANK.AVG(label_features!C81,label_features!C$2:C$102,1)</f>
        <v>86</v>
      </c>
      <c r="D81">
        <f>_xlfn.RANK.AVG(label_features!D81,label_features!D$2:D$102,1)</f>
        <v>89</v>
      </c>
      <c r="E81">
        <f>_xlfn.RANK.AVG(label_features!E81,label_features!E$2:E$102,1)</f>
        <v>85</v>
      </c>
      <c r="F81">
        <f>_xlfn.RANK.AVG(label_features!F81,label_features!F$2:F$102,1)</f>
        <v>56</v>
      </c>
      <c r="G81">
        <f>_xlfn.RANK.AVG(label_features!G81,label_features!G$2:G$102,1)</f>
        <v>60</v>
      </c>
      <c r="H81">
        <f>_xlfn.RANK.AVG(label_features!H81,label_features!H$2:H$102,1)</f>
        <v>69</v>
      </c>
    </row>
    <row r="82" spans="2:8" x14ac:dyDescent="0.25">
      <c r="B82">
        <f>_xlfn.RANK.AVG(label_features!B82,label_features!B$2:B$102,1)</f>
        <v>97</v>
      </c>
      <c r="C82">
        <f>_xlfn.RANK.AVG(label_features!C82,label_features!C$2:C$102,1)</f>
        <v>27</v>
      </c>
      <c r="D82">
        <f>_xlfn.RANK.AVG(label_features!D82,label_features!D$2:D$102,1)</f>
        <v>74</v>
      </c>
      <c r="E82">
        <f>_xlfn.RANK.AVG(label_features!E82,label_features!E$2:E$102,1)</f>
        <v>36</v>
      </c>
      <c r="F82">
        <f>_xlfn.RANK.AVG(label_features!F82,label_features!F$2:F$102,1)</f>
        <v>93</v>
      </c>
      <c r="G82">
        <f>_xlfn.RANK.AVG(label_features!G82,label_features!G$2:G$102,1)</f>
        <v>6</v>
      </c>
      <c r="H82">
        <f>_xlfn.RANK.AVG(label_features!H82,label_features!H$2:H$102,1)</f>
        <v>69</v>
      </c>
    </row>
    <row r="83" spans="2:8" x14ac:dyDescent="0.25">
      <c r="B83">
        <f>_xlfn.RANK.AVG(label_features!B83,label_features!B$2:B$102,1)</f>
        <v>27</v>
      </c>
      <c r="C83">
        <f>_xlfn.RANK.AVG(label_features!C83,label_features!C$2:C$102,1)</f>
        <v>38</v>
      </c>
      <c r="D83">
        <f>_xlfn.RANK.AVG(label_features!D83,label_features!D$2:D$102,1)</f>
        <v>29</v>
      </c>
      <c r="E83">
        <f>_xlfn.RANK.AVG(label_features!E83,label_features!E$2:E$102,1)</f>
        <v>19</v>
      </c>
      <c r="F83">
        <f>_xlfn.RANK.AVG(label_features!F83,label_features!F$2:F$102,1)</f>
        <v>16</v>
      </c>
      <c r="G83">
        <f>_xlfn.RANK.AVG(label_features!G83,label_features!G$2:G$102,1)</f>
        <v>19</v>
      </c>
      <c r="H83">
        <f>_xlfn.RANK.AVG(label_features!H83,label_features!H$2:H$102,1)</f>
        <v>69</v>
      </c>
    </row>
    <row r="84" spans="2:8" x14ac:dyDescent="0.25">
      <c r="B84">
        <f>_xlfn.RANK.AVG(label_features!B84,label_features!B$2:B$102,1)</f>
        <v>65</v>
      </c>
      <c r="C84">
        <f>_xlfn.RANK.AVG(label_features!C84,label_features!C$2:C$102,1)</f>
        <v>68</v>
      </c>
      <c r="D84">
        <f>_xlfn.RANK.AVG(label_features!D84,label_features!D$2:D$102,1)</f>
        <v>95</v>
      </c>
      <c r="E84">
        <f>_xlfn.RANK.AVG(label_features!E84,label_features!E$2:E$102,1)</f>
        <v>98</v>
      </c>
      <c r="F84">
        <f>_xlfn.RANK.AVG(label_features!F84,label_features!F$2:F$102,1)</f>
        <v>49</v>
      </c>
      <c r="G84">
        <f>_xlfn.RANK.AVG(label_features!G84,label_features!G$2:G$102,1)</f>
        <v>12</v>
      </c>
      <c r="H84">
        <f>_xlfn.RANK.AVG(label_features!H84,label_features!H$2:H$102,1)</f>
        <v>18.5</v>
      </c>
    </row>
    <row r="85" spans="2:8" x14ac:dyDescent="0.25">
      <c r="B85">
        <f>_xlfn.RANK.AVG(label_features!B85,label_features!B$2:B$102,1)</f>
        <v>82</v>
      </c>
      <c r="C85">
        <f>_xlfn.RANK.AVG(label_features!C85,label_features!C$2:C$102,1)</f>
        <v>32</v>
      </c>
      <c r="D85">
        <f>_xlfn.RANK.AVG(label_features!D85,label_features!D$2:D$102,1)</f>
        <v>43</v>
      </c>
      <c r="E85">
        <f>_xlfn.RANK.AVG(label_features!E85,label_features!E$2:E$102,1)</f>
        <v>44</v>
      </c>
      <c r="F85">
        <f>_xlfn.RANK.AVG(label_features!F85,label_features!F$2:F$102,1)</f>
        <v>86</v>
      </c>
      <c r="G85">
        <f>_xlfn.RANK.AVG(label_features!G85,label_features!G$2:G$102,1)</f>
        <v>56</v>
      </c>
      <c r="H85">
        <f>_xlfn.RANK.AVG(label_features!H85,label_features!H$2:H$102,1)</f>
        <v>69</v>
      </c>
    </row>
    <row r="86" spans="2:8" x14ac:dyDescent="0.25">
      <c r="B86">
        <f>_xlfn.RANK.AVG(label_features!B86,label_features!B$2:B$102,1)</f>
        <v>96</v>
      </c>
      <c r="C86">
        <f>_xlfn.RANK.AVG(label_features!C86,label_features!C$2:C$102,1)</f>
        <v>10</v>
      </c>
      <c r="D86">
        <f>_xlfn.RANK.AVG(label_features!D86,label_features!D$2:D$102,1)</f>
        <v>97</v>
      </c>
      <c r="E86">
        <f>_xlfn.RANK.AVG(label_features!E86,label_features!E$2:E$102,1)</f>
        <v>82</v>
      </c>
      <c r="F86">
        <f>_xlfn.RANK.AVG(label_features!F86,label_features!F$2:F$102,1)</f>
        <v>96</v>
      </c>
      <c r="G86">
        <f>_xlfn.RANK.AVG(label_features!G86,label_features!G$2:G$102,1)</f>
        <v>40</v>
      </c>
      <c r="H86">
        <f>_xlfn.RANK.AVG(label_features!H86,label_features!H$2:H$102,1)</f>
        <v>69</v>
      </c>
    </row>
    <row r="87" spans="2:8" x14ac:dyDescent="0.25">
      <c r="B87">
        <f>_xlfn.RANK.AVG(label_features!B87,label_features!B$2:B$102,1)</f>
        <v>89</v>
      </c>
      <c r="C87">
        <f>_xlfn.RANK.AVG(label_features!C87,label_features!C$2:C$102,1)</f>
        <v>13</v>
      </c>
      <c r="D87">
        <f>_xlfn.RANK.AVG(label_features!D87,label_features!D$2:D$102,1)</f>
        <v>99</v>
      </c>
      <c r="E87">
        <f>_xlfn.RANK.AVG(label_features!E87,label_features!E$2:E$102,1)</f>
        <v>78</v>
      </c>
      <c r="F87">
        <f>_xlfn.RANK.AVG(label_features!F87,label_features!F$2:F$102,1)</f>
        <v>89</v>
      </c>
      <c r="G87">
        <f>_xlfn.RANK.AVG(label_features!G87,label_features!G$2:G$102,1)</f>
        <v>42</v>
      </c>
      <c r="H87">
        <f>_xlfn.RANK.AVG(label_features!H87,label_features!H$2:H$102,1)</f>
        <v>18.5</v>
      </c>
    </row>
    <row r="88" spans="2:8" x14ac:dyDescent="0.25">
      <c r="B88">
        <f>_xlfn.RANK.AVG(label_features!B88,label_features!B$2:B$102,1)</f>
        <v>76</v>
      </c>
      <c r="C88">
        <f>_xlfn.RANK.AVG(label_features!C88,label_features!C$2:C$102,1)</f>
        <v>73</v>
      </c>
      <c r="D88">
        <f>_xlfn.RANK.AVG(label_features!D88,label_features!D$2:D$102,1)</f>
        <v>47</v>
      </c>
      <c r="E88">
        <f>_xlfn.RANK.AVG(label_features!E88,label_features!E$2:E$102,1)</f>
        <v>25</v>
      </c>
      <c r="F88">
        <f>_xlfn.RANK.AVG(label_features!F88,label_features!F$2:F$102,1)</f>
        <v>79</v>
      </c>
      <c r="G88">
        <f>_xlfn.RANK.AVG(label_features!G88,label_features!G$2:G$102,1)</f>
        <v>48</v>
      </c>
      <c r="H88">
        <f>_xlfn.RANK.AVG(label_features!H88,label_features!H$2:H$102,1)</f>
        <v>18.5</v>
      </c>
    </row>
    <row r="89" spans="2:8" x14ac:dyDescent="0.25">
      <c r="B89">
        <f>_xlfn.RANK.AVG(label_features!B89,label_features!B$2:B$102,1)</f>
        <v>4</v>
      </c>
      <c r="C89">
        <f>_xlfn.RANK.AVG(label_features!C89,label_features!C$2:C$102,1)</f>
        <v>34</v>
      </c>
      <c r="D89">
        <f>_xlfn.RANK.AVG(label_features!D89,label_features!D$2:D$102,1)</f>
        <v>4</v>
      </c>
      <c r="E89">
        <f>_xlfn.RANK.AVG(label_features!E89,label_features!E$2:E$102,1)</f>
        <v>1</v>
      </c>
      <c r="F89">
        <f>_xlfn.RANK.AVG(label_features!F89,label_features!F$2:F$102,1)</f>
        <v>3</v>
      </c>
      <c r="G89">
        <f>_xlfn.RANK.AVG(label_features!G89,label_features!G$2:G$102,1)</f>
        <v>37</v>
      </c>
      <c r="H89">
        <f>_xlfn.RANK.AVG(label_features!H89,label_features!H$2:H$102,1)</f>
        <v>69</v>
      </c>
    </row>
    <row r="90" spans="2:8" x14ac:dyDescent="0.25">
      <c r="B90">
        <f>_xlfn.RANK.AVG(label_features!B90,label_features!B$2:B$102,1)</f>
        <v>63</v>
      </c>
      <c r="C90">
        <f>_xlfn.RANK.AVG(label_features!C90,label_features!C$2:C$102,1)</f>
        <v>23</v>
      </c>
      <c r="D90">
        <f>_xlfn.RANK.AVG(label_features!D90,label_features!D$2:D$102,1)</f>
        <v>36</v>
      </c>
      <c r="E90">
        <f>_xlfn.RANK.AVG(label_features!E90,label_features!E$2:E$102,1)</f>
        <v>13</v>
      </c>
      <c r="F90">
        <f>_xlfn.RANK.AVG(label_features!F90,label_features!F$2:F$102,1)</f>
        <v>41</v>
      </c>
      <c r="G90">
        <f>_xlfn.RANK.AVG(label_features!G90,label_features!G$2:G$102,1)</f>
        <v>4</v>
      </c>
      <c r="H90">
        <f>_xlfn.RANK.AVG(label_features!H90,label_features!H$2:H$102,1)</f>
        <v>69</v>
      </c>
    </row>
    <row r="91" spans="2:8" x14ac:dyDescent="0.25">
      <c r="B91">
        <f>_xlfn.RANK.AVG(label_features!B91,label_features!B$2:B$102,1)</f>
        <v>13</v>
      </c>
      <c r="C91">
        <f>_xlfn.RANK.AVG(label_features!C91,label_features!C$2:C$102,1)</f>
        <v>92</v>
      </c>
      <c r="D91">
        <f>_xlfn.RANK.AVG(label_features!D91,label_features!D$2:D$102,1)</f>
        <v>44</v>
      </c>
      <c r="E91">
        <f>_xlfn.RANK.AVG(label_features!E91,label_features!E$2:E$102,1)</f>
        <v>74</v>
      </c>
      <c r="F91">
        <f>_xlfn.RANK.AVG(label_features!F91,label_features!F$2:F$102,1)</f>
        <v>20</v>
      </c>
      <c r="G91">
        <f>_xlfn.RANK.AVG(label_features!G91,label_features!G$2:G$102,1)</f>
        <v>82</v>
      </c>
      <c r="H91">
        <f>_xlfn.RANK.AVG(label_features!H91,label_features!H$2:H$102,1)</f>
        <v>69</v>
      </c>
    </row>
    <row r="92" spans="2:8" x14ac:dyDescent="0.25">
      <c r="B92">
        <f>_xlfn.RANK.AVG(label_features!B92,label_features!B$2:B$102,1)</f>
        <v>60</v>
      </c>
      <c r="C92">
        <f>_xlfn.RANK.AVG(label_features!C92,label_features!C$2:C$102,1)</f>
        <v>53</v>
      </c>
      <c r="D92">
        <f>_xlfn.RANK.AVG(label_features!D92,label_features!D$2:D$102,1)</f>
        <v>93</v>
      </c>
      <c r="E92">
        <f>_xlfn.RANK.AVG(label_features!E92,label_features!E$2:E$102,1)</f>
        <v>88</v>
      </c>
      <c r="F92">
        <f>_xlfn.RANK.AVG(label_features!F92,label_features!F$2:F$102,1)</f>
        <v>64</v>
      </c>
      <c r="G92">
        <f>_xlfn.RANK.AVG(label_features!G92,label_features!G$2:G$102,1)</f>
        <v>54</v>
      </c>
      <c r="H92">
        <f>_xlfn.RANK.AVG(label_features!H92,label_features!H$2:H$102,1)</f>
        <v>69</v>
      </c>
    </row>
    <row r="93" spans="2:8" x14ac:dyDescent="0.25">
      <c r="B93">
        <f>_xlfn.RANK.AVG(label_features!B93,label_features!B$2:B$102,1)</f>
        <v>22</v>
      </c>
      <c r="C93">
        <f>_xlfn.RANK.AVG(label_features!C93,label_features!C$2:C$102,1)</f>
        <v>28</v>
      </c>
      <c r="D93">
        <f>_xlfn.RANK.AVG(label_features!D93,label_features!D$2:D$102,1)</f>
        <v>11</v>
      </c>
      <c r="E93">
        <f>_xlfn.RANK.AVG(label_features!E93,label_features!E$2:E$102,1)</f>
        <v>34</v>
      </c>
      <c r="F93">
        <f>_xlfn.RANK.AVG(label_features!F93,label_features!F$2:F$102,1)</f>
        <v>11</v>
      </c>
      <c r="G93">
        <f>_xlfn.RANK.AVG(label_features!G93,label_features!G$2:G$102,1)</f>
        <v>24</v>
      </c>
      <c r="H93">
        <f>_xlfn.RANK.AVG(label_features!H93,label_features!H$2:H$102,1)</f>
        <v>18.5</v>
      </c>
    </row>
    <row r="94" spans="2:8" x14ac:dyDescent="0.25">
      <c r="B94">
        <f>_xlfn.RANK.AVG(label_features!B94,label_features!B$2:B$102,1)</f>
        <v>91</v>
      </c>
      <c r="C94">
        <f>_xlfn.RANK.AVG(label_features!C94,label_features!C$2:C$102,1)</f>
        <v>79</v>
      </c>
      <c r="D94">
        <f>_xlfn.RANK.AVG(label_features!D94,label_features!D$2:D$102,1)</f>
        <v>92</v>
      </c>
      <c r="E94">
        <f>_xlfn.RANK.AVG(label_features!E94,label_features!E$2:E$102,1)</f>
        <v>101</v>
      </c>
      <c r="F94">
        <f>_xlfn.RANK.AVG(label_features!F94,label_features!F$2:F$102,1)</f>
        <v>97</v>
      </c>
      <c r="G94">
        <f>_xlfn.RANK.AVG(label_features!G94,label_features!G$2:G$102,1)</f>
        <v>86</v>
      </c>
      <c r="H94">
        <f>_xlfn.RANK.AVG(label_features!H94,label_features!H$2:H$102,1)</f>
        <v>18.5</v>
      </c>
    </row>
    <row r="95" spans="2:8" x14ac:dyDescent="0.25">
      <c r="B95">
        <f>_xlfn.RANK.AVG(label_features!B95,label_features!B$2:B$102,1)</f>
        <v>48</v>
      </c>
      <c r="C95">
        <f>_xlfn.RANK.AVG(label_features!C95,label_features!C$2:C$102,1)</f>
        <v>26</v>
      </c>
      <c r="D95">
        <f>_xlfn.RANK.AVG(label_features!D95,label_features!D$2:D$102,1)</f>
        <v>6</v>
      </c>
      <c r="E95">
        <f>_xlfn.RANK.AVG(label_features!E95,label_features!E$2:E$102,1)</f>
        <v>45</v>
      </c>
      <c r="F95">
        <f>_xlfn.RANK.AVG(label_features!F95,label_features!F$2:F$102,1)</f>
        <v>55</v>
      </c>
      <c r="G95">
        <f>_xlfn.RANK.AVG(label_features!G95,label_features!G$2:G$102,1)</f>
        <v>68</v>
      </c>
      <c r="H95">
        <f>_xlfn.RANK.AVG(label_features!H95,label_features!H$2:H$102,1)</f>
        <v>18.5</v>
      </c>
    </row>
    <row r="96" spans="2:8" x14ac:dyDescent="0.25">
      <c r="B96">
        <f>_xlfn.RANK.AVG(label_features!B96,label_features!B$2:B$102,1)</f>
        <v>67</v>
      </c>
      <c r="C96">
        <f>_xlfn.RANK.AVG(label_features!C96,label_features!C$2:C$102,1)</f>
        <v>19</v>
      </c>
      <c r="D96">
        <f>_xlfn.RANK.AVG(label_features!D96,label_features!D$2:D$102,1)</f>
        <v>84</v>
      </c>
      <c r="E96">
        <f>_xlfn.RANK.AVG(label_features!E96,label_features!E$2:E$102,1)</f>
        <v>84</v>
      </c>
      <c r="F96">
        <f>_xlfn.RANK.AVG(label_features!F96,label_features!F$2:F$102,1)</f>
        <v>59</v>
      </c>
      <c r="G96">
        <f>_xlfn.RANK.AVG(label_features!G96,label_features!G$2:G$102,1)</f>
        <v>16</v>
      </c>
      <c r="H96">
        <f>_xlfn.RANK.AVG(label_features!H96,label_features!H$2:H$102,1)</f>
        <v>18.5</v>
      </c>
    </row>
    <row r="97" spans="2:8" x14ac:dyDescent="0.25">
      <c r="B97">
        <f>_xlfn.RANK.AVG(label_features!B97,label_features!B$2:B$102,1)</f>
        <v>101</v>
      </c>
      <c r="C97">
        <f>_xlfn.RANK.AVG(label_features!C97,label_features!C$2:C$102,1)</f>
        <v>2</v>
      </c>
      <c r="D97">
        <f>_xlfn.RANK.AVG(label_features!D97,label_features!D$2:D$102,1)</f>
        <v>7</v>
      </c>
      <c r="E97">
        <f>_xlfn.RANK.AVG(label_features!E97,label_features!E$2:E$102,1)</f>
        <v>20</v>
      </c>
      <c r="F97">
        <f>_xlfn.RANK.AVG(label_features!F97,label_features!F$2:F$102,1)</f>
        <v>101</v>
      </c>
      <c r="G97">
        <f>_xlfn.RANK.AVG(label_features!G97,label_features!G$2:G$102,1)</f>
        <v>101</v>
      </c>
      <c r="H97">
        <f>_xlfn.RANK.AVG(label_features!H97,label_features!H$2:H$102,1)</f>
        <v>69</v>
      </c>
    </row>
    <row r="98" spans="2:8" x14ac:dyDescent="0.25">
      <c r="B98">
        <f>_xlfn.RANK.AVG(label_features!B98,label_features!B$2:B$102,1)</f>
        <v>49</v>
      </c>
      <c r="C98">
        <f>_xlfn.RANK.AVG(label_features!C98,label_features!C$2:C$102,1)</f>
        <v>44</v>
      </c>
      <c r="D98">
        <f>_xlfn.RANK.AVG(label_features!D98,label_features!D$2:D$102,1)</f>
        <v>81</v>
      </c>
      <c r="E98">
        <f>_xlfn.RANK.AVG(label_features!E98,label_features!E$2:E$102,1)</f>
        <v>63</v>
      </c>
      <c r="F98">
        <f>_xlfn.RANK.AVG(label_features!F98,label_features!F$2:F$102,1)</f>
        <v>44</v>
      </c>
      <c r="G98">
        <f>_xlfn.RANK.AVG(label_features!G98,label_features!G$2:G$102,1)</f>
        <v>44</v>
      </c>
      <c r="H98">
        <f>_xlfn.RANK.AVG(label_features!H98,label_features!H$2:H$102,1)</f>
        <v>69</v>
      </c>
    </row>
    <row r="99" spans="2:8" x14ac:dyDescent="0.25">
      <c r="B99">
        <f>_xlfn.RANK.AVG(label_features!B99,label_features!B$2:B$102,1)</f>
        <v>43</v>
      </c>
      <c r="C99">
        <f>_xlfn.RANK.AVG(label_features!C99,label_features!C$2:C$102,1)</f>
        <v>51</v>
      </c>
      <c r="D99">
        <f>_xlfn.RANK.AVG(label_features!D99,label_features!D$2:D$102,1)</f>
        <v>19</v>
      </c>
      <c r="E99">
        <f>_xlfn.RANK.AVG(label_features!E99,label_features!E$2:E$102,1)</f>
        <v>26</v>
      </c>
      <c r="F99">
        <f>_xlfn.RANK.AVG(label_features!F99,label_features!F$2:F$102,1)</f>
        <v>50</v>
      </c>
      <c r="G99">
        <f>_xlfn.RANK.AVG(label_features!G99,label_features!G$2:G$102,1)</f>
        <v>69</v>
      </c>
      <c r="H99">
        <f>_xlfn.RANK.AVG(label_features!H99,label_features!H$2:H$102,1)</f>
        <v>69</v>
      </c>
    </row>
    <row r="100" spans="2:8" x14ac:dyDescent="0.25">
      <c r="B100">
        <f>_xlfn.RANK.AVG(label_features!B100,label_features!B$2:B$102,1)</f>
        <v>75</v>
      </c>
      <c r="C100">
        <f>_xlfn.RANK.AVG(label_features!C100,label_features!C$2:C$102,1)</f>
        <v>8</v>
      </c>
      <c r="D100">
        <f>_xlfn.RANK.AVG(label_features!D100,label_features!D$2:D$102,1)</f>
        <v>59</v>
      </c>
      <c r="E100">
        <f>_xlfn.RANK.AVG(label_features!E100,label_features!E$2:E$102,1)</f>
        <v>87</v>
      </c>
      <c r="F100">
        <f>_xlfn.RANK.AVG(label_features!F100,label_features!F$2:F$102,1)</f>
        <v>84</v>
      </c>
      <c r="G100">
        <f>_xlfn.RANK.AVG(label_features!G100,label_features!G$2:G$102,1)</f>
        <v>70</v>
      </c>
      <c r="H100">
        <f>_xlfn.RANK.AVG(label_features!H100,label_features!H$2:H$102,1)</f>
        <v>18.5</v>
      </c>
    </row>
    <row r="101" spans="2:8" x14ac:dyDescent="0.25">
      <c r="B101">
        <f>_xlfn.RANK.AVG(label_features!B101,label_features!B$2:B$102,1)</f>
        <v>32</v>
      </c>
      <c r="C101">
        <f>_xlfn.RANK.AVG(label_features!C101,label_features!C$2:C$102,1)</f>
        <v>60</v>
      </c>
      <c r="D101">
        <f>_xlfn.RANK.AVG(label_features!D101,label_features!D$2:D$102,1)</f>
        <v>16</v>
      </c>
      <c r="E101">
        <f>_xlfn.RANK.AVG(label_features!E101,label_features!E$2:E$102,1)</f>
        <v>11</v>
      </c>
      <c r="F101">
        <f>_xlfn.RANK.AVG(label_features!F101,label_features!F$2:F$102,1)</f>
        <v>18</v>
      </c>
      <c r="G101">
        <f>_xlfn.RANK.AVG(label_features!G101,label_features!G$2:G$102,1)</f>
        <v>7</v>
      </c>
      <c r="H101">
        <f>_xlfn.RANK.AVG(label_features!H101,label_features!H$2:H$102,1)</f>
        <v>18.5</v>
      </c>
    </row>
    <row r="102" spans="2:8" x14ac:dyDescent="0.25">
      <c r="B102">
        <f>_xlfn.RANK.AVG(label_features!B102,label_features!B$2:B$102,1)</f>
        <v>94.5</v>
      </c>
      <c r="C102">
        <f>_xlfn.RANK.AVG(label_features!C102,label_features!C$2:C$102,1)</f>
        <v>48.5</v>
      </c>
      <c r="D102">
        <f>_xlfn.RANK.AVG(label_features!D102,label_features!D$2:D$102,1)</f>
        <v>100.5</v>
      </c>
      <c r="E102">
        <f>_xlfn.RANK.AVG(label_features!E102,label_features!E$2:E$102,1)</f>
        <v>99.5</v>
      </c>
      <c r="F102">
        <f>_xlfn.RANK.AVG(label_features!F102,label_features!F$2:F$102,1)</f>
        <v>91.5</v>
      </c>
      <c r="G102">
        <f>_xlfn.RANK.AVG(label_features!G102,label_features!G$2:G$102,1)</f>
        <v>17.5</v>
      </c>
      <c r="H102">
        <f>_xlfn.RANK.AVG(label_features!H102,label_features!H$2:H$102,1)</f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D20A-AF4E-4A76-8AE7-B99C1003A13A}">
  <dimension ref="A2:F102"/>
  <sheetViews>
    <sheetView workbookViewId="0">
      <selection activeCell="C4" sqref="C4"/>
    </sheetView>
  </sheetViews>
  <sheetFormatPr baseColWidth="10" defaultRowHeight="15" x14ac:dyDescent="0.25"/>
  <cols>
    <col min="1" max="1" width="19.28515625" customWidth="1"/>
    <col min="2" max="2" width="12.5703125" customWidth="1"/>
    <col min="3" max="3" width="14.5703125" customWidth="1"/>
    <col min="4" max="4" width="20.5703125" customWidth="1"/>
    <col min="5" max="5" width="16.7109375" bestFit="1" customWidth="1"/>
    <col min="6" max="6" width="19" bestFit="1" customWidth="1"/>
    <col min="7" max="7" width="17.7109375" bestFit="1" customWidth="1"/>
    <col min="8" max="8" width="7.7109375" bestFit="1" customWidth="1"/>
  </cols>
  <sheetData>
    <row r="2" spans="1:6" x14ac:dyDescent="0.25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2" t="s">
        <v>107</v>
      </c>
      <c r="B3">
        <f>AVERAGE(label_features__2[mean_edge])</f>
        <v>0.22192794199397109</v>
      </c>
      <c r="C3">
        <f>AVERAGE(label_features__2[footprint_xy])</f>
        <v>4377.6062747017113</v>
      </c>
      <c r="D3">
        <f>AVERAGE(label_features__2[height_range])</f>
        <v>27.894209366185681</v>
      </c>
      <c r="E3">
        <f>AVERAGE(label_features__2[curvature_energy])</f>
        <v>75132.356936888682</v>
      </c>
      <c r="F3">
        <f>AVERAGE(label_features__2[curvature_mean])</f>
        <v>0.71297353282889397</v>
      </c>
    </row>
    <row r="4" spans="1:6" x14ac:dyDescent="0.25">
      <c r="A4" s="2" t="s">
        <v>108</v>
      </c>
      <c r="B4">
        <f>MEDIAN(label_features__2[mean_edge])</f>
        <v>0.21540795712778626</v>
      </c>
      <c r="C4">
        <f>MEDIAN(label_features__2[footprint_xy])</f>
        <v>4361.3214918206031</v>
      </c>
      <c r="D4">
        <f>MEDIAN(label_features__2[height_range])</f>
        <v>28.166946387827267</v>
      </c>
      <c r="E4">
        <f>MEDIAN(label_features__2[curvature_energy])</f>
        <v>71352.970108794994</v>
      </c>
      <c r="F4">
        <f>MEDIAN(label_features__2[curvature_mean])</f>
        <v>0.69723128186142147</v>
      </c>
    </row>
    <row r="5" spans="1:6" x14ac:dyDescent="0.25">
      <c r="A5" s="2" t="s">
        <v>109</v>
      </c>
      <c r="B5">
        <f>MODE(label_features__2[mean_edge])</f>
        <v>0.22554005169583152</v>
      </c>
      <c r="C5">
        <f>MODE(label_features__2[footprint_xy])</f>
        <v>3818.5688389244865</v>
      </c>
      <c r="D5">
        <f>MODE(label_features__2[height_range])</f>
        <v>17.785997466786601</v>
      </c>
      <c r="E5">
        <f>MODE(label_features__2[curvature_energy])</f>
        <v>66056.569652160077</v>
      </c>
      <c r="F5">
        <f>MODE(label_features__2[curvature_mean])</f>
        <v>0.67572905655059612</v>
      </c>
    </row>
    <row r="6" spans="1:6" x14ac:dyDescent="0.25">
      <c r="A6" s="2" t="s">
        <v>110</v>
      </c>
      <c r="B6">
        <f>_xlfn.STDEV.P(label_features__2[mean_edge])</f>
        <v>5.289923869529254E-2</v>
      </c>
      <c r="C6">
        <f>_xlfn.STDEV.P(label_features__2[footprint_xy])</f>
        <v>880.09461659204783</v>
      </c>
      <c r="D6">
        <f>_xlfn.STDEV.P(label_features__2[height_range])</f>
        <v>6.971130959928896</v>
      </c>
      <c r="E6">
        <f>_xlfn.STDEV.P(label_features__2[curvature_energy])</f>
        <v>33313.545796777216</v>
      </c>
      <c r="F6">
        <f>_xlfn.STDEV.P(label_features__2[curvature_mean])</f>
        <v>0.10068281707991526</v>
      </c>
    </row>
    <row r="7" spans="1:6" x14ac:dyDescent="0.25">
      <c r="A7" s="2" t="s">
        <v>111</v>
      </c>
      <c r="B7">
        <f>_xlfn.VAR.P(label_features__2[mean_edge])</f>
        <v>2.7983294545415355E-3</v>
      </c>
      <c r="C7">
        <f>_xlfn.VAR.P(label_features__2[footprint_xy])</f>
        <v>774566.5341543036</v>
      </c>
      <c r="D7">
        <f>_xlfn.VAR.P(label_features__2[height_range])</f>
        <v>48.596666860479175</v>
      </c>
      <c r="E7">
        <f>_xlfn.VAR.P(label_features__2[curvature_energy])</f>
        <v>1109792333.553973</v>
      </c>
      <c r="F7">
        <f>_xlfn.VAR.P(label_features__2[curvature_mean])</f>
        <v>1.0137029655147676E-2</v>
      </c>
    </row>
    <row r="8" spans="1:6" x14ac:dyDescent="0.25">
      <c r="A8" s="1"/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883870-4C04-419C-90C9-10432BB332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label_features</vt:lpstr>
      <vt:lpstr>Coeficiente de Spearman</vt:lpstr>
      <vt:lpstr>Estadísticas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 muñoz</dc:creator>
  <cp:lastModifiedBy>isra muñoz</cp:lastModifiedBy>
  <dcterms:created xsi:type="dcterms:W3CDTF">2026-10-10T11:06:07Z</dcterms:created>
  <dcterms:modified xsi:type="dcterms:W3CDTF">2026-10-10T19:47:18Z</dcterms:modified>
</cp:coreProperties>
</file>